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Master Exam Routine" sheetId="2" state="visible" r:id="rId2"/>
    <sheet name="Course Conflict Matrix" sheetId="3" state="visible" r:id="rId3"/>
    <sheet name="Room Facility Load" sheetId="4" state="visible" r:id="rId4"/>
    <sheet name="Student Attendance" sheetId="5" state="visible" r:id="rId5"/>
    <sheet name="Courses &amp; Enrollments" sheetId="6" state="visible" r:id="rId6"/>
    <sheet name="System 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293B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166534"/>
      <sz val="10"/>
    </font>
    <font>
      <name val="Segoe UI"/>
      <b val="1"/>
      <color rgb="000F172A"/>
      <sz val="10"/>
    </font>
    <font>
      <name val="Segoe UI"/>
      <b val="1"/>
      <color rgb="00854D0E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0F766E"/>
        <bgColor rgb="000F766E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1" pivotButton="0" quotePrefix="0" xfId="0"/>
    <xf numFmtId="0" fontId="8" fillId="6" borderId="1" applyAlignment="1" pivotButton="0" quotePrefix="0" xfId="0">
      <alignment horizontal="center"/>
    </xf>
    <xf numFmtId="164" fontId="7" fillId="5" borderId="1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9" fillId="0" borderId="2" pivotButton="0" quotePrefix="0" xfId="0"/>
    <xf numFmtId="0" fontId="0" fillId="0" borderId="2" pivotButton="0" quotePrefix="0" xfId="0"/>
    <xf numFmtId="164" fontId="9" fillId="0" borderId="2" pivotButton="0" quotePrefix="0" xfId="0"/>
    <xf numFmtId="0" fontId="6" fillId="4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4" borderId="0" pivotButton="0" quotePrefix="0" xfId="0"/>
    <xf numFmtId="0" fontId="7" fillId="0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854D0E"/>
        <sz val="10"/>
      </font>
      <fill>
        <patternFill patternType="solid">
          <fgColor rgb="00FEF9C3"/>
          <bgColor rgb="00FEF9C3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43" customWidth="1" min="2" max="2"/>
    <col width="42" customWidth="1" min="3" max="3"/>
    <col width="60" customWidth="1" min="4" max="4"/>
    <col width="24" customWidth="1" min="5" max="5"/>
    <col width="41" customWidth="1" min="6" max="6"/>
    <col width="88" customWidth="1" min="7" max="7"/>
    <col width="42" customWidth="1" min="8" max="8"/>
    <col width="12" customWidth="1" min="9" max="9"/>
    <col width="41" customWidth="1" min="10" max="10"/>
    <col width="12" customWidth="1" min="11" max="11"/>
  </cols>
  <sheetData>
    <row r="1">
      <c r="A1" s="1" t="inlineStr">
        <is>
          <t>CLASS ASSISTANT - MASTER ENGINEERING OPERATIONS DASHBOARD</t>
        </is>
      </c>
    </row>
    <row r="2"/>
    <row r="3">
      <c r="A3" s="2" t="inlineStr">
        <is>
          <t>System Operations Intelligence | Date: August 30, 2026 | Status: OPTIMAL</t>
        </is>
      </c>
    </row>
    <row r="4"/>
    <row r="5">
      <c r="B5" s="3" t="inlineStr">
        <is>
          <t>TOTAL STUDENTS</t>
        </is>
      </c>
      <c r="C5" s="4" t="n"/>
      <c r="D5" s="3" t="inlineStr">
        <is>
          <t>ACTIVE COURSES</t>
        </is>
      </c>
      <c r="E5" s="4" t="n"/>
      <c r="F5" s="3" t="inlineStr">
        <is>
          <t>EXAMS SCHEDULED</t>
        </is>
      </c>
      <c r="G5" s="4" t="n"/>
      <c r="H5" s="3" t="inlineStr">
        <is>
          <t>AVG ROOM OCCUPANCY</t>
        </is>
      </c>
      <c r="I5" s="4" t="n"/>
      <c r="J5" s="3" t="inlineStr">
        <is>
          <t>ATTENDANCE RATE</t>
        </is>
      </c>
      <c r="K5" s="4" t="n"/>
    </row>
    <row r="6">
      <c r="B6" s="5">
        <f>COUNTA('Courses &amp; Enrollments'!B6:B13)</f>
        <v/>
      </c>
      <c r="C6" s="4" t="n"/>
      <c r="D6" s="5">
        <f>COUNTA('Courses &amp; Enrollments'!G6:G12)</f>
        <v/>
      </c>
      <c r="E6" s="4" t="n"/>
      <c r="F6" s="5">
        <f>COUNTA('Master Exam Routine'!A5:A11)</f>
        <v/>
      </c>
      <c r="G6" s="4" t="n"/>
      <c r="H6" s="6">
        <f>AVERAGE('Master Exam Routine'!L5:L11)</f>
        <v/>
      </c>
      <c r="I6" s="4" t="n"/>
      <c r="J6" s="6">
        <f>AVERAGE('Student Attendance'!I8:I55)</f>
        <v/>
      </c>
      <c r="K6" s="4" t="n"/>
    </row>
    <row r="7"/>
    <row r="8"/>
    <row r="9">
      <c r="B9" s="7" t="inlineStr">
        <is>
          <t>SYSTEM COMPONENT PERFORMANCE MATRIX</t>
        </is>
      </c>
    </row>
    <row r="10">
      <c r="B10" s="8" t="inlineStr">
        <is>
          <t>Module Name</t>
        </is>
      </c>
      <c r="C10" s="8" t="inlineStr">
        <is>
          <t>Domain Scope</t>
        </is>
      </c>
      <c r="D10" s="8" t="inlineStr">
        <is>
          <t>Algorithm Model</t>
        </is>
      </c>
      <c r="E10" s="8" t="inlineStr">
        <is>
          <t>Metric Target</t>
        </is>
      </c>
      <c r="F10" s="8" t="inlineStr">
        <is>
          <t>Status</t>
        </is>
      </c>
      <c r="G10" s="8" t="inlineStr">
        <is>
          <t>Efficiency Index</t>
        </is>
      </c>
    </row>
    <row r="11">
      <c r="B11" s="9" t="inlineStr">
        <is>
          <t>Smart Exam Scheduler</t>
        </is>
      </c>
      <c r="C11" s="9" t="inlineStr">
        <is>
          <t>Exam Timetable Management</t>
        </is>
      </c>
      <c r="D11" s="9" t="inlineStr">
        <is>
          <t>Backtracking Graph Coloring DFS</t>
        </is>
      </c>
      <c r="E11" s="9" t="inlineStr">
        <is>
          <t>Zero Conflict Edge</t>
        </is>
      </c>
      <c r="F11" s="10" t="inlineStr">
        <is>
          <t>OPTIMAL</t>
        </is>
      </c>
      <c r="G11" s="11">
        <f>IF(F6=D6, 1.0, F6/D6)</f>
        <v/>
      </c>
    </row>
    <row r="12">
      <c r="B12" s="12" t="inlineStr">
        <is>
          <t>Course Conflict Graph</t>
        </is>
      </c>
      <c r="C12" s="12" t="inlineStr">
        <is>
          <t>Enrollment Overlap</t>
        </is>
      </c>
      <c r="D12" s="12" t="inlineStr">
        <is>
          <t>Adjacency Matrix Degree Centrality</t>
        </is>
      </c>
      <c r="E12" s="12" t="inlineStr">
        <is>
          <t>Shared Student Pairs</t>
        </is>
      </c>
      <c r="F12" s="10" t="inlineStr">
        <is>
          <t>ACTIVE</t>
        </is>
      </c>
      <c r="G12" s="13">
        <f>SUM('Course Conflict Matrix'!J5:J11)/20</f>
        <v/>
      </c>
    </row>
    <row r="13">
      <c r="B13" s="9" t="inlineStr">
        <is>
          <t>Room Allocation Engine</t>
        </is>
      </c>
      <c r="C13" s="9" t="inlineStr">
        <is>
          <t>Facility Utilization</t>
        </is>
      </c>
      <c r="D13" s="9" t="inlineStr">
        <is>
          <t>Seat Capacity Cushion Optimization</t>
        </is>
      </c>
      <c r="E13" s="9" t="inlineStr">
        <is>
          <t>Avg Seat Buffer</t>
        </is>
      </c>
      <c r="F13" s="10" t="inlineStr">
        <is>
          <t>OPTIMAL</t>
        </is>
      </c>
      <c r="G13" s="11">
        <f>AVERAGE('Master Exam Routine'!M5:M11)/30</f>
        <v/>
      </c>
    </row>
    <row r="14">
      <c r="B14" s="12" t="inlineStr">
        <is>
          <t>Face-ID Attendance AI</t>
        </is>
      </c>
      <c r="C14" s="12" t="inlineStr">
        <is>
          <t>Classroom Monitoring</t>
        </is>
      </c>
      <c r="D14" s="12" t="inlineStr">
        <is>
          <t>dlib Deep Encoding Classifier</t>
        </is>
      </c>
      <c r="E14" s="12" t="inlineStr">
        <is>
          <t>Presence Ratio</t>
        </is>
      </c>
      <c r="F14" s="10" t="inlineStr">
        <is>
          <t>OPERATIONAL</t>
        </is>
      </c>
      <c r="G14" s="13">
        <f>COUNTIF('Student Attendance'!J8:J55, "PRESENT")/COUNTA('Student Attendance'!J8:J55)</f>
        <v/>
      </c>
    </row>
    <row r="15">
      <c r="B15" s="9" t="inlineStr">
        <is>
          <t>Student Roster Index</t>
        </is>
      </c>
      <c r="C15" s="9" t="inlineStr">
        <is>
          <t>Academic Administration</t>
        </is>
      </c>
      <c r="D15" s="9" t="inlineStr">
        <is>
          <t>SQLAlchemy Relational Schema</t>
        </is>
      </c>
      <c r="E15" s="9" t="inlineStr">
        <is>
          <t>Enrolled Ratio</t>
        </is>
      </c>
      <c r="F15" s="10" t="inlineStr">
        <is>
          <t>HEALTHY</t>
        </is>
      </c>
      <c r="G15" s="11">
        <f>AVERAGE('Courses &amp; Enrollments'!E6:E13)/5</f>
        <v/>
      </c>
    </row>
    <row r="16"/>
    <row r="17"/>
    <row r="18">
      <c r="B18" s="7" t="inlineStr">
        <is>
          <t>WORKBOOK SHEET ARCHITECTURE &amp; INDEX</t>
        </is>
      </c>
    </row>
    <row r="19">
      <c r="B19" s="14" t="inlineStr">
        <is>
          <t>Sheet Title</t>
        </is>
      </c>
      <c r="C19" s="14" t="inlineStr">
        <is>
          <t>Functional Domain</t>
        </is>
      </c>
      <c r="D19" s="14" t="inlineStr">
        <is>
          <t>Key Analytical Outputs</t>
        </is>
      </c>
    </row>
    <row r="20">
      <c r="B20" s="12" t="inlineStr">
        <is>
          <t>Master Exam Routine</t>
        </is>
      </c>
      <c r="C20" s="12" t="inlineStr">
        <is>
          <t>Automated timetable &amp; room allocations</t>
        </is>
      </c>
      <c r="D20" s="12" t="inlineStr">
        <is>
          <t>Exam Slots, Room Capacity, Buffer Seats, Occupancy %</t>
        </is>
      </c>
    </row>
    <row r="21">
      <c r="B21" s="9" t="inlineStr">
        <is>
          <t>Course Conflict Matrix</t>
        </is>
      </c>
      <c r="C21" s="9" t="inlineStr">
        <is>
          <t>Pairwise student course overlap graph</t>
        </is>
      </c>
      <c r="D21" s="9" t="inlineStr">
        <is>
          <t>Adjacency Matrix, Conflict Degree, Risk Index</t>
        </is>
      </c>
    </row>
    <row r="22">
      <c r="B22" s="12" t="inlineStr">
        <is>
          <t>Room Facility Load</t>
        </is>
      </c>
      <c r="C22" s="12" t="inlineStr">
        <is>
          <t>Classroom and hall utilization report</t>
        </is>
      </c>
      <c r="D22" s="12" t="inlineStr">
        <is>
          <t>Exams Scheduled, Seat Hours, Utilization Status</t>
        </is>
      </c>
    </row>
    <row r="23">
      <c r="B23" s="9" t="inlineStr">
        <is>
          <t>Student Attendance</t>
        </is>
      </c>
      <c r="C23" s="9" t="inlineStr">
        <is>
          <t>Face-recognition AI attendance logs</t>
        </is>
      </c>
      <c r="D23" s="9" t="inlineStr">
        <is>
          <t>Entry Time, Exit Time, Total Duration, Late Status</t>
        </is>
      </c>
    </row>
    <row r="24">
      <c r="B24" s="12" t="inlineStr">
        <is>
          <t>Courses &amp; Enrollments</t>
        </is>
      </c>
      <c r="C24" s="12" t="inlineStr">
        <is>
          <t>Course catalog &amp; student roster</t>
        </is>
      </c>
      <c r="D24" s="12" t="inlineStr">
        <is>
          <t>Course Codes, Credits, Department, Student Enrolment Map</t>
        </is>
      </c>
    </row>
    <row r="25">
      <c r="B25" s="9" t="inlineStr">
        <is>
          <t>System Config</t>
        </is>
      </c>
      <c r="C25" s="9" t="inlineStr">
        <is>
          <t>Engineering settings &amp; thresholds</t>
        </is>
      </c>
      <c r="D25" s="9" t="inlineStr">
        <is>
          <t>Start/End Times, Late Grace Period, Minimum Buffer %</t>
        </is>
      </c>
    </row>
  </sheetData>
  <mergeCells count="12">
    <mergeCell ref="D6:E6"/>
    <mergeCell ref="B6:C6"/>
    <mergeCell ref="H6:I6"/>
    <mergeCell ref="A3:K3"/>
    <mergeCell ref="J5:K5"/>
    <mergeCell ref="J6:K6"/>
    <mergeCell ref="B5:C5"/>
    <mergeCell ref="F5:G5"/>
    <mergeCell ref="D5:E5"/>
    <mergeCell ref="F6:G6"/>
    <mergeCell ref="H5:I5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16" customWidth="1" min="13" max="13"/>
    <col width="79" customWidth="1" min="14" max="14"/>
  </cols>
  <sheetData>
    <row r="1">
      <c r="A1" s="1" t="inlineStr">
        <is>
          <t>MASTER ENGINEERING EXAM ROUTINE &amp; ROOM ALLOCATION SCHEDULE</t>
        </is>
      </c>
    </row>
    <row r="2"/>
    <row r="3"/>
    <row r="4">
      <c r="A4" s="8" t="inlineStr">
        <is>
          <t>Course Code</t>
        </is>
      </c>
      <c r="B4" s="8" t="inlineStr">
        <is>
          <t>Course Title</t>
        </is>
      </c>
      <c r="C4" s="8" t="inlineStr">
        <is>
          <t>Department</t>
        </is>
      </c>
      <c r="D4" s="8" t="inlineStr">
        <is>
          <t>Section</t>
        </is>
      </c>
      <c r="E4" s="8" t="inlineStr">
        <is>
          <t>Open Credit</t>
        </is>
      </c>
      <c r="F4" s="8" t="inlineStr">
        <is>
          <t>Exam Date</t>
        </is>
      </c>
      <c r="G4" s="8" t="inlineStr">
        <is>
          <t>Start Time</t>
        </is>
      </c>
      <c r="H4" s="8" t="inlineStr">
        <is>
          <t>End Time</t>
        </is>
      </c>
      <c r="I4" s="8" t="inlineStr">
        <is>
          <t>Assigned Room</t>
        </is>
      </c>
      <c r="J4" s="8" t="inlineStr">
        <is>
          <t>Nominal Capacity</t>
        </is>
      </c>
      <c r="K4" s="8" t="inlineStr">
        <is>
          <t>Enrolled Students</t>
        </is>
      </c>
      <c r="L4" s="8" t="inlineStr">
        <is>
          <t>Occupancy Rate</t>
        </is>
      </c>
      <c r="M4" s="8" t="inlineStr">
        <is>
          <t>Buffer Seats</t>
        </is>
      </c>
      <c r="N4" s="8" t="inlineStr">
        <is>
          <t>Schedule Status</t>
        </is>
      </c>
    </row>
    <row r="5">
      <c r="A5" s="15" t="inlineStr">
        <is>
          <t>CSE101</t>
        </is>
      </c>
      <c r="B5" s="16" t="inlineStr">
        <is>
          <t>Structured Programming</t>
        </is>
      </c>
      <c r="C5" s="15" t="inlineStr">
        <is>
          <t>CSE</t>
        </is>
      </c>
      <c r="D5" s="15" t="inlineStr">
        <is>
          <t>Section A</t>
        </is>
      </c>
      <c r="E5" s="15" t="inlineStr">
        <is>
          <t>NO</t>
        </is>
      </c>
      <c r="F5" s="15" t="inlineStr">
        <is>
          <t>2026-09-10</t>
        </is>
      </c>
      <c r="G5" s="15" t="inlineStr">
        <is>
          <t>01:30 PM</t>
        </is>
      </c>
      <c r="H5" s="15" t="inlineStr">
        <is>
          <t>04:00 PM</t>
        </is>
      </c>
      <c r="I5" s="16" t="inlineStr">
        <is>
          <t>Seminar Hall B</t>
        </is>
      </c>
      <c r="J5" s="17" t="n">
        <v>25</v>
      </c>
      <c r="K5" s="17" t="n">
        <v>3</v>
      </c>
      <c r="L5" s="18">
        <f>K5/J5</f>
        <v/>
      </c>
      <c r="M5" s="17">
        <f>J5-K5</f>
        <v/>
      </c>
      <c r="N5" s="10">
        <f>IF(L5&gt;1.0, "OVER CAPACITY", IF(L5&gt;=0.75, "HIGH UTILIZATION", "OPTIMAL"))</f>
        <v/>
      </c>
    </row>
    <row r="6">
      <c r="A6" s="19" t="inlineStr">
        <is>
          <t>CSE104</t>
        </is>
      </c>
      <c r="B6" s="4" t="inlineStr">
        <is>
          <t>Object Oriented Programming</t>
        </is>
      </c>
      <c r="C6" s="19" t="inlineStr">
        <is>
          <t>CSE</t>
        </is>
      </c>
      <c r="D6" s="19" t="inlineStr">
        <is>
          <t>Section B</t>
        </is>
      </c>
      <c r="E6" s="19" t="inlineStr">
        <is>
          <t>NO</t>
        </is>
      </c>
      <c r="F6" s="19" t="inlineStr">
        <is>
          <t>2026-09-10</t>
        </is>
      </c>
      <c r="G6" s="19" t="inlineStr">
        <is>
          <t>09:00 AM</t>
        </is>
      </c>
      <c r="H6" s="19" t="inlineStr">
        <is>
          <t>11:30 AM</t>
        </is>
      </c>
      <c r="I6" s="4" t="inlineStr">
        <is>
          <t>Seminar Hall B</t>
        </is>
      </c>
      <c r="J6" s="20" t="n">
        <v>25</v>
      </c>
      <c r="K6" s="20" t="n">
        <v>4</v>
      </c>
      <c r="L6" s="21">
        <f>K6/J6</f>
        <v/>
      </c>
      <c r="M6" s="20">
        <f>J6-K6</f>
        <v/>
      </c>
      <c r="N6" s="10">
        <f>IF(L6&gt;1.0, "OVER CAPACITY", IF(L6&gt;=0.75, "HIGH UTILIZATION", "OPTIMAL"))</f>
        <v/>
      </c>
    </row>
    <row r="7">
      <c r="A7" s="15" t="inlineStr">
        <is>
          <t>CSE103</t>
        </is>
      </c>
      <c r="B7" s="16" t="inlineStr">
        <is>
          <t>Discrete Mathematics</t>
        </is>
      </c>
      <c r="C7" s="15" t="inlineStr">
        <is>
          <t>CSE</t>
        </is>
      </c>
      <c r="D7" s="15" t="inlineStr">
        <is>
          <t>Section B</t>
        </is>
      </c>
      <c r="E7" s="15" t="inlineStr">
        <is>
          <t>NO</t>
        </is>
      </c>
      <c r="F7" s="15" t="inlineStr">
        <is>
          <t>2026-09-11</t>
        </is>
      </c>
      <c r="G7" s="15" t="inlineStr">
        <is>
          <t>01:30 PM</t>
        </is>
      </c>
      <c r="H7" s="15" t="inlineStr">
        <is>
          <t>04:00 PM</t>
        </is>
      </c>
      <c r="I7" s="16" t="inlineStr">
        <is>
          <t>Lab 301 (AI Lab)</t>
        </is>
      </c>
      <c r="J7" s="17" t="n">
        <v>30</v>
      </c>
      <c r="K7" s="17" t="n">
        <v>3</v>
      </c>
      <c r="L7" s="18">
        <f>K7/J7</f>
        <v/>
      </c>
      <c r="M7" s="17">
        <f>J7-K7</f>
        <v/>
      </c>
      <c r="N7" s="10">
        <f>IF(L7&gt;1.0, "OVER CAPACITY", IF(L7&gt;=0.75, "HIGH UTILIZATION", "OPTIMAL"))</f>
        <v/>
      </c>
    </row>
    <row r="8">
      <c r="A8" s="19" t="inlineStr">
        <is>
          <t>EEE201</t>
        </is>
      </c>
      <c r="B8" s="4" t="inlineStr">
        <is>
          <t>Electrical Circuits &amp; Electronics</t>
        </is>
      </c>
      <c r="C8" s="19" t="inlineStr">
        <is>
          <t>EEE</t>
        </is>
      </c>
      <c r="D8" s="19" t="inlineStr">
        <is>
          <t>Section A</t>
        </is>
      </c>
      <c r="E8" s="19" t="inlineStr">
        <is>
          <t>NO</t>
        </is>
      </c>
      <c r="F8" s="19" t="inlineStr">
        <is>
          <t>2026-09-11</t>
        </is>
      </c>
      <c r="G8" s="19" t="inlineStr">
        <is>
          <t>01:30 PM</t>
        </is>
      </c>
      <c r="H8" s="19" t="inlineStr">
        <is>
          <t>04:00 PM</t>
        </is>
      </c>
      <c r="I8" s="4" t="inlineStr">
        <is>
          <t>Seminar Hall B</t>
        </is>
      </c>
      <c r="J8" s="20" t="n">
        <v>25</v>
      </c>
      <c r="K8" s="20" t="n">
        <v>3</v>
      </c>
      <c r="L8" s="21">
        <f>K8/J8</f>
        <v/>
      </c>
      <c r="M8" s="20">
        <f>J8-K8</f>
        <v/>
      </c>
      <c r="N8" s="10">
        <f>IF(L8&gt;1.0, "OVER CAPACITY", IF(L8&gt;=0.75, "HIGH UTILIZATION", "OPTIMAL"))</f>
        <v/>
      </c>
    </row>
    <row r="9">
      <c r="A9" s="15" t="inlineStr">
        <is>
          <t>MATH201</t>
        </is>
      </c>
      <c r="B9" s="16" t="inlineStr">
        <is>
          <t>Linear Algebra &amp; Differential Equations</t>
        </is>
      </c>
      <c r="C9" s="15" t="inlineStr">
        <is>
          <t>MATH</t>
        </is>
      </c>
      <c r="D9" s="15" t="inlineStr">
        <is>
          <t>Open Credit</t>
        </is>
      </c>
      <c r="E9" s="15" t="inlineStr">
        <is>
          <t>YES</t>
        </is>
      </c>
      <c r="F9" s="15" t="inlineStr">
        <is>
          <t>2026-09-11</t>
        </is>
      </c>
      <c r="G9" s="15" t="inlineStr">
        <is>
          <t>09:00 AM</t>
        </is>
      </c>
      <c r="H9" s="15" t="inlineStr">
        <is>
          <t>11:30 AM</t>
        </is>
      </c>
      <c r="I9" s="16" t="inlineStr">
        <is>
          <t>Lab 301 (AI Lab)</t>
        </is>
      </c>
      <c r="J9" s="17" t="n">
        <v>30</v>
      </c>
      <c r="K9" s="17" t="n">
        <v>3</v>
      </c>
      <c r="L9" s="18">
        <f>K9/J9</f>
        <v/>
      </c>
      <c r="M9" s="17">
        <f>J9-K9</f>
        <v/>
      </c>
      <c r="N9" s="10">
        <f>IF(L9&gt;1.0, "OVER CAPACITY", IF(L9&gt;=0.75, "HIGH UTILIZATION", "OPTIMAL"))</f>
        <v/>
      </c>
    </row>
    <row r="10">
      <c r="A10" s="19" t="inlineStr">
        <is>
          <t>CSE201</t>
        </is>
      </c>
      <c r="B10" s="4" t="inlineStr">
        <is>
          <t>Database Management Systems</t>
        </is>
      </c>
      <c r="C10" s="19" t="inlineStr">
        <is>
          <t>CSE</t>
        </is>
      </c>
      <c r="D10" s="19" t="inlineStr">
        <is>
          <t>Open Credit</t>
        </is>
      </c>
      <c r="E10" s="19" t="inlineStr">
        <is>
          <t>YES</t>
        </is>
      </c>
      <c r="F10" s="19" t="inlineStr">
        <is>
          <t>2026-09-11</t>
        </is>
      </c>
      <c r="G10" s="19" t="inlineStr">
        <is>
          <t>09:00 AM</t>
        </is>
      </c>
      <c r="H10" s="19" t="inlineStr">
        <is>
          <t>11:30 AM</t>
        </is>
      </c>
      <c r="I10" s="4" t="inlineStr">
        <is>
          <t>Seminar Hall B</t>
        </is>
      </c>
      <c r="J10" s="20" t="n">
        <v>25</v>
      </c>
      <c r="K10" s="20" t="n">
        <v>3</v>
      </c>
      <c r="L10" s="21">
        <f>K10/J10</f>
        <v/>
      </c>
      <c r="M10" s="20">
        <f>J10-K10</f>
        <v/>
      </c>
      <c r="N10" s="10">
        <f>IF(L10&gt;1.0, "OVER CAPACITY", IF(L10&gt;=0.75, "HIGH UTILIZATION", "OPTIMAL"))</f>
        <v/>
      </c>
    </row>
    <row r="11">
      <c r="A11" s="15" t="inlineStr">
        <is>
          <t>CSE102</t>
        </is>
      </c>
      <c r="B11" s="16" t="inlineStr">
        <is>
          <t>Data Structures &amp; Algorithms</t>
        </is>
      </c>
      <c r="C11" s="15" t="inlineStr">
        <is>
          <t>CSE</t>
        </is>
      </c>
      <c r="D11" s="15" t="inlineStr">
        <is>
          <t>Section A</t>
        </is>
      </c>
      <c r="E11" s="15" t="inlineStr">
        <is>
          <t>NO</t>
        </is>
      </c>
      <c r="F11" s="15" t="inlineStr">
        <is>
          <t>2026-09-12</t>
        </is>
      </c>
      <c r="G11" s="15" t="inlineStr">
        <is>
          <t>09:00 AM</t>
        </is>
      </c>
      <c r="H11" s="15" t="inlineStr">
        <is>
          <t>11:30 AM</t>
        </is>
      </c>
      <c r="I11" s="16" t="inlineStr">
        <is>
          <t>Seminar Hall B</t>
        </is>
      </c>
      <c r="J11" s="17" t="n">
        <v>25</v>
      </c>
      <c r="K11" s="17" t="n">
        <v>3</v>
      </c>
      <c r="L11" s="18">
        <f>K11/J11</f>
        <v/>
      </c>
      <c r="M11" s="17">
        <f>J11-K11</f>
        <v/>
      </c>
      <c r="N11" s="10">
        <f>IF(L11&gt;1.0, "OVER CAPACITY", IF(L11&gt;=0.75, "HIGH UTILIZATION", "OPTIMAL"))</f>
        <v/>
      </c>
    </row>
    <row r="12">
      <c r="A12" s="22" t="inlineStr">
        <is>
          <t>TOTAL / AVERAGE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2">
        <f>SUM(J5:J11)</f>
        <v/>
      </c>
      <c r="K12" s="22">
        <f>SUM(K5:K11)</f>
        <v/>
      </c>
      <c r="L12" s="24">
        <f>AVERAGE(L5:L11)</f>
        <v/>
      </c>
      <c r="M12" s="22">
        <f>SUM(M5:M11)</f>
        <v/>
      </c>
      <c r="N12" s="23" t="n"/>
    </row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67" customWidth="1" min="11" max="11"/>
  </cols>
  <sheetData>
    <row r="1">
      <c r="A1" s="1" t="inlineStr">
        <is>
          <t>GRAPH THEORY ENROLLMENT CONFLICT MATRIX (ADJACENCY MATRIX)</t>
        </is>
      </c>
    </row>
    <row r="2"/>
    <row r="3"/>
    <row r="4">
      <c r="A4" s="25" t="inlineStr">
        <is>
          <t>Course Code</t>
        </is>
      </c>
      <c r="B4" s="25" t="inlineStr">
        <is>
          <t>Course Title</t>
        </is>
      </c>
      <c r="C4" s="25" t="inlineStr">
        <is>
          <t>CSE101</t>
        </is>
      </c>
      <c r="D4" s="25" t="inlineStr">
        <is>
          <t>CSE102</t>
        </is>
      </c>
      <c r="E4" s="25" t="inlineStr">
        <is>
          <t>CSE103</t>
        </is>
      </c>
      <c r="F4" s="25" t="inlineStr">
        <is>
          <t>CSE104</t>
        </is>
      </c>
      <c r="G4" s="25" t="inlineStr">
        <is>
          <t>CSE201</t>
        </is>
      </c>
      <c r="H4" s="25" t="inlineStr">
        <is>
          <t>EEE201</t>
        </is>
      </c>
      <c r="I4" s="25" t="inlineStr">
        <is>
          <t>MATH201</t>
        </is>
      </c>
      <c r="J4" s="26" t="inlineStr">
        <is>
          <t>Degree of Conflict</t>
        </is>
      </c>
      <c r="K4" s="26" t="inlineStr">
        <is>
          <t>Conflict Risk Index</t>
        </is>
      </c>
    </row>
    <row r="5">
      <c r="A5" s="27" t="inlineStr">
        <is>
          <t>CSE101</t>
        </is>
      </c>
      <c r="B5" s="12" t="inlineStr">
        <is>
          <t>Structured Programming</t>
        </is>
      </c>
      <c r="C5" s="28" t="n">
        <v>0</v>
      </c>
      <c r="D5" s="29" t="n">
        <v>1</v>
      </c>
      <c r="E5" s="29" t="n">
        <v>1</v>
      </c>
      <c r="F5" s="29" t="n">
        <v>1</v>
      </c>
      <c r="G5" s="29" t="n">
        <v>1</v>
      </c>
      <c r="H5" s="29" t="n">
        <v>1</v>
      </c>
      <c r="I5" s="29" t="n">
        <v>2</v>
      </c>
      <c r="J5" s="27">
        <f>SUM(C5:I5)</f>
        <v/>
      </c>
      <c r="K5" s="27">
        <f>IF(J5&gt;=5, "HIGH RISK", IF(J5&gt;=3, "MEDIUM RISK", "LOW RISK"))</f>
        <v/>
      </c>
    </row>
    <row r="6">
      <c r="A6" s="27" t="inlineStr">
        <is>
          <t>CSE102</t>
        </is>
      </c>
      <c r="B6" s="12" t="inlineStr">
        <is>
          <t>Data Structures &amp; Algorithms</t>
        </is>
      </c>
      <c r="C6" s="29" t="n">
        <v>1</v>
      </c>
      <c r="D6" s="28" t="n">
        <v>0</v>
      </c>
      <c r="E6" s="28" t="n">
        <v>0</v>
      </c>
      <c r="F6" s="29" t="n">
        <v>1</v>
      </c>
      <c r="G6" s="29" t="n">
        <v>2</v>
      </c>
      <c r="H6" s="29" t="n">
        <v>2</v>
      </c>
      <c r="I6" s="28" t="n">
        <v>0</v>
      </c>
      <c r="J6" s="27">
        <f>SUM(C6:I6)</f>
        <v/>
      </c>
      <c r="K6" s="27">
        <f>IF(J6&gt;=5, "HIGH RISK", IF(J6&gt;=3, "MEDIUM RISK", "LOW RISK"))</f>
        <v/>
      </c>
    </row>
    <row r="7">
      <c r="A7" s="27" t="inlineStr">
        <is>
          <t>CSE103</t>
        </is>
      </c>
      <c r="B7" s="12" t="inlineStr">
        <is>
          <t>Discrete Mathematics</t>
        </is>
      </c>
      <c r="C7" s="29" t="n">
        <v>1</v>
      </c>
      <c r="D7" s="28" t="n">
        <v>0</v>
      </c>
      <c r="E7" s="28" t="n">
        <v>0</v>
      </c>
      <c r="F7" s="29" t="n">
        <v>2</v>
      </c>
      <c r="G7" s="29" t="n">
        <v>1</v>
      </c>
      <c r="H7" s="28" t="n">
        <v>0</v>
      </c>
      <c r="I7" s="29" t="n">
        <v>1</v>
      </c>
      <c r="J7" s="27">
        <f>SUM(C7:I7)</f>
        <v/>
      </c>
      <c r="K7" s="27">
        <f>IF(J7&gt;=5, "HIGH RISK", IF(J7&gt;=3, "MEDIUM RISK", "LOW RISK"))</f>
        <v/>
      </c>
    </row>
    <row r="8">
      <c r="A8" s="27" t="inlineStr">
        <is>
          <t>CSE104</t>
        </is>
      </c>
      <c r="B8" s="12" t="inlineStr">
        <is>
          <t>Object Oriented Programming</t>
        </is>
      </c>
      <c r="C8" s="29" t="n">
        <v>1</v>
      </c>
      <c r="D8" s="29" t="n">
        <v>1</v>
      </c>
      <c r="E8" s="29" t="n">
        <v>2</v>
      </c>
      <c r="F8" s="28" t="n">
        <v>0</v>
      </c>
      <c r="G8" s="29" t="n">
        <v>1</v>
      </c>
      <c r="H8" s="29" t="n">
        <v>1</v>
      </c>
      <c r="I8" s="29" t="n">
        <v>1</v>
      </c>
      <c r="J8" s="27">
        <f>SUM(C8:I8)</f>
        <v/>
      </c>
      <c r="K8" s="27">
        <f>IF(J8&gt;=5, "HIGH RISK", IF(J8&gt;=3, "MEDIUM RISK", "LOW RISK"))</f>
        <v/>
      </c>
    </row>
    <row r="9">
      <c r="A9" s="27" t="inlineStr">
        <is>
          <t>CSE201</t>
        </is>
      </c>
      <c r="B9" s="12" t="inlineStr">
        <is>
          <t>Database Management Systems</t>
        </is>
      </c>
      <c r="C9" s="29" t="n">
        <v>1</v>
      </c>
      <c r="D9" s="29" t="n">
        <v>2</v>
      </c>
      <c r="E9" s="29" t="n">
        <v>1</v>
      </c>
      <c r="F9" s="29" t="n">
        <v>1</v>
      </c>
      <c r="G9" s="28" t="n">
        <v>0</v>
      </c>
      <c r="H9" s="29" t="n">
        <v>1</v>
      </c>
      <c r="I9" s="28" t="n">
        <v>0</v>
      </c>
      <c r="J9" s="27">
        <f>SUM(C9:I9)</f>
        <v/>
      </c>
      <c r="K9" s="27">
        <f>IF(J9&gt;=5, "HIGH RISK", IF(J9&gt;=3, "MEDIUM RISK", "LOW RISK"))</f>
        <v/>
      </c>
    </row>
    <row r="10">
      <c r="A10" s="27" t="inlineStr">
        <is>
          <t>EEE201</t>
        </is>
      </c>
      <c r="B10" s="12" t="inlineStr">
        <is>
          <t>Electrical Circuits &amp; Electronics</t>
        </is>
      </c>
      <c r="C10" s="29" t="n">
        <v>1</v>
      </c>
      <c r="D10" s="29" t="n">
        <v>2</v>
      </c>
      <c r="E10" s="28" t="n">
        <v>0</v>
      </c>
      <c r="F10" s="29" t="n">
        <v>1</v>
      </c>
      <c r="G10" s="29" t="n">
        <v>1</v>
      </c>
      <c r="H10" s="28" t="n">
        <v>0</v>
      </c>
      <c r="I10" s="29" t="n">
        <v>1</v>
      </c>
      <c r="J10" s="27">
        <f>SUM(C10:I10)</f>
        <v/>
      </c>
      <c r="K10" s="27">
        <f>IF(J10&gt;=5, "HIGH RISK", IF(J10&gt;=3, "MEDIUM RISK", "LOW RISK"))</f>
        <v/>
      </c>
    </row>
    <row r="11">
      <c r="A11" s="27" t="inlineStr">
        <is>
          <t>MATH201</t>
        </is>
      </c>
      <c r="B11" s="12" t="inlineStr">
        <is>
          <t>Linear Algebra &amp; Differential Equations</t>
        </is>
      </c>
      <c r="C11" s="29" t="n">
        <v>2</v>
      </c>
      <c r="D11" s="28" t="n">
        <v>0</v>
      </c>
      <c r="E11" s="29" t="n">
        <v>1</v>
      </c>
      <c r="F11" s="29" t="n">
        <v>1</v>
      </c>
      <c r="G11" s="28" t="n">
        <v>0</v>
      </c>
      <c r="H11" s="29" t="n">
        <v>1</v>
      </c>
      <c r="I11" s="28" t="n">
        <v>0</v>
      </c>
      <c r="J11" s="27">
        <f>SUM(C11:I11)</f>
        <v/>
      </c>
      <c r="K11" s="27">
        <f>IF(J11&gt;=5, "HIGH RISK", IF(J11&gt;=3, "MEDIUM RISK", "LOW RISK"))</f>
        <v/>
      </c>
    </row>
  </sheetData>
  <mergeCells count="1">
    <mergeCell ref="A1:K2"/>
  </mergeCells>
  <conditionalFormatting sqref="C5:I11">
    <cfRule type="colorScale" priority="1">
      <colorScale>
        <cfvo type="num" val="0"/>
        <cfvo type="num" val="2"/>
        <cfvo type="num" val="4"/>
        <color rgb="00FFFFFF"/>
        <color rgb="00FEF9C3"/>
        <color rgb="00FEE2E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5" customWidth="1" min="4" max="4"/>
    <col width="50" customWidth="1" min="5" max="5"/>
    <col width="82" customWidth="1" min="6" max="6"/>
    <col width="28" customWidth="1" min="7" max="7"/>
    <col width="26" customWidth="1" min="8" max="8"/>
    <col width="52" customWidth="1" min="9" max="9"/>
  </cols>
  <sheetData>
    <row r="1">
      <c r="A1" s="1" t="inlineStr">
        <is>
          <t>CAMPUS ROOM &amp; FACILITY CAPACITY UTILIZATION ANALYSIS</t>
        </is>
      </c>
    </row>
    <row r="2"/>
    <row r="3"/>
    <row r="4">
      <c r="A4" s="8" t="inlineStr">
        <is>
          <t>Room ID</t>
        </is>
      </c>
      <c r="B4" s="8" t="inlineStr">
        <is>
          <t>Room Number / Name</t>
        </is>
      </c>
      <c r="C4" s="8" t="inlineStr">
        <is>
          <t>Building Complex</t>
        </is>
      </c>
      <c r="D4" s="8" t="inlineStr">
        <is>
          <t>Nominal Seat Capacity</t>
        </is>
      </c>
      <c r="E4" s="8" t="inlineStr">
        <is>
          <t>Exams Scheduled</t>
        </is>
      </c>
      <c r="F4" s="8" t="inlineStr">
        <is>
          <t>Total Students Seated</t>
        </is>
      </c>
      <c r="G4" s="8" t="inlineStr">
        <is>
          <t>Utilization Ratio</t>
        </is>
      </c>
      <c r="H4" s="8" t="inlineStr">
        <is>
          <t>Available Seat Cushion</t>
        </is>
      </c>
      <c r="I4" s="8" t="inlineStr">
        <is>
          <t>Facility Status</t>
        </is>
      </c>
    </row>
    <row r="5">
      <c r="A5" s="15" t="n">
        <v>1</v>
      </c>
      <c r="B5" s="16" t="inlineStr">
        <is>
          <t>Lab 301 (AI Lab)</t>
        </is>
      </c>
      <c r="C5" s="16" t="inlineStr">
        <is>
          <t>Engineering Annex</t>
        </is>
      </c>
      <c r="D5" s="17" t="n">
        <v>30</v>
      </c>
      <c r="E5" s="17">
        <f>COUNTIF('Master Exam Routine'!$I$5:$I$11, B5)</f>
        <v/>
      </c>
      <c r="F5" s="17">
        <f>SUMIF('Master Exam Routine'!$I$5:$I$11, B5, 'Master Exam Routine'!$K$5:$K$11)</f>
        <v/>
      </c>
      <c r="G5" s="18">
        <f>IF(E5&gt;0, F5/(D5*E5), 0)</f>
        <v/>
      </c>
      <c r="H5" s="17">
        <f>(D5*E5)-F5</f>
        <v/>
      </c>
      <c r="I5" s="10">
        <f>IF(E5&gt;0, "ACTIVE - IN USE", "AVAILABLE - IDLE")</f>
        <v/>
      </c>
    </row>
    <row r="6">
      <c r="A6" s="19" t="n">
        <v>2</v>
      </c>
      <c r="B6" s="4" t="inlineStr">
        <is>
          <t>Auditorium 101</t>
        </is>
      </c>
      <c r="C6" s="4" t="inlineStr">
        <is>
          <t>Main Academic Complex</t>
        </is>
      </c>
      <c r="D6" s="20" t="n">
        <v>60</v>
      </c>
      <c r="E6" s="20">
        <f>COUNTIF('Master Exam Routine'!$I$5:$I$11, B6)</f>
        <v/>
      </c>
      <c r="F6" s="20">
        <f>SUMIF('Master Exam Routine'!$I$5:$I$11, B6, 'Master Exam Routine'!$K$5:$K$11)</f>
        <v/>
      </c>
      <c r="G6" s="21">
        <f>IF(E6&gt;0, F6/(D6*E6), 0)</f>
        <v/>
      </c>
      <c r="H6" s="20">
        <f>(D6*E6)-F6</f>
        <v/>
      </c>
      <c r="I6" s="10">
        <f>IF(E6&gt;0, "ACTIVE - IN USE", "AVAILABLE - IDLE")</f>
        <v/>
      </c>
    </row>
    <row r="7">
      <c r="A7" s="15" t="n">
        <v>3</v>
      </c>
      <c r="B7" s="16" t="inlineStr">
        <is>
          <t>Seminar Hall B</t>
        </is>
      </c>
      <c r="C7" s="16" t="inlineStr">
        <is>
          <t>Science Tower</t>
        </is>
      </c>
      <c r="D7" s="17" t="n">
        <v>25</v>
      </c>
      <c r="E7" s="17">
        <f>COUNTIF('Master Exam Routine'!$I$5:$I$11, B7)</f>
        <v/>
      </c>
      <c r="F7" s="17">
        <f>SUMIF('Master Exam Routine'!$I$5:$I$11, B7, 'Master Exam Routine'!$K$5:$K$11)</f>
        <v/>
      </c>
      <c r="G7" s="18">
        <f>IF(E7&gt;0, F7/(D7*E7), 0)</f>
        <v/>
      </c>
      <c r="H7" s="17">
        <f>(D7*E7)-F7</f>
        <v/>
      </c>
      <c r="I7" s="10">
        <f>IF(E7&gt;0, "ACTIVE - IN USE", "AVAILABLE - IDLE")</f>
        <v/>
      </c>
    </row>
  </sheetData>
  <mergeCells count="1">
    <mergeCell ref="A1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31" customWidth="1" min="4" max="4"/>
    <col width="14" customWidth="1" min="5" max="5"/>
    <col width="31" customWidth="1" min="6" max="6"/>
    <col width="21" customWidth="1" min="7" max="7"/>
    <col width="28" customWidth="1" min="8" max="8"/>
    <col width="14" customWidth="1" min="9" max="9"/>
    <col width="65" customWidth="1" min="10" max="10"/>
    <col width="42" customWidth="1" min="11" max="11"/>
  </cols>
  <sheetData>
    <row r="1">
      <c r="A1" s="1" t="inlineStr">
        <is>
          <t>STUDENT ATTENDANCE &amp; FACE-RECOGNITION LOGS</t>
        </is>
      </c>
    </row>
    <row r="2"/>
    <row r="3"/>
    <row r="4">
      <c r="B4" s="30" t="inlineStr">
        <is>
          <t>TOTAL LOGS</t>
        </is>
      </c>
      <c r="C4" s="4" t="n"/>
      <c r="D4" s="30" t="inlineStr">
        <is>
          <t>PRESENT COUNT</t>
        </is>
      </c>
      <c r="E4" s="4" t="n"/>
      <c r="F4" s="30" t="inlineStr">
        <is>
          <t>PARTIAL COUNT</t>
        </is>
      </c>
      <c r="G4" s="4" t="n"/>
      <c r="H4" s="30" t="inlineStr">
        <is>
          <t>LATE ARRIVALS</t>
        </is>
      </c>
      <c r="I4" s="4" t="n"/>
    </row>
    <row r="5">
      <c r="B5" s="31">
        <f>COUNTA(A8:A60)</f>
        <v/>
      </c>
      <c r="C5" s="4" t="n"/>
      <c r="D5" s="31">
        <f>COUNTIF(J8:J60, "PRESENT")</f>
        <v/>
      </c>
      <c r="E5" s="4" t="n"/>
      <c r="F5" s="31">
        <f>COUNTIF(J8:J60, "PARTIAL")</f>
        <v/>
      </c>
      <c r="G5" s="4" t="n"/>
      <c r="H5" s="31">
        <f>COUNTIF(K8:K60, "LATE")</f>
        <v/>
      </c>
      <c r="I5" s="4" t="n"/>
    </row>
    <row r="6"/>
    <row r="7">
      <c r="A7" s="8" t="inlineStr">
        <is>
          <t>Log ID</t>
        </is>
      </c>
      <c r="B7" s="8" t="inlineStr">
        <is>
          <t>Student ID</t>
        </is>
      </c>
      <c r="C7" s="8" t="inlineStr">
        <is>
          <t>Student Name</t>
        </is>
      </c>
      <c r="D7" s="8" t="inlineStr">
        <is>
          <t>Date</t>
        </is>
      </c>
      <c r="E7" s="8" t="inlineStr">
        <is>
          <t>Entry Time</t>
        </is>
      </c>
      <c r="F7" s="8" t="inlineStr">
        <is>
          <t>Exit / Last Seen</t>
        </is>
      </c>
      <c r="G7" s="8" t="inlineStr">
        <is>
          <t>Total Mins Stayed</t>
        </is>
      </c>
      <c r="H7" s="8" t="inlineStr">
        <is>
          <t>Required Mins</t>
        </is>
      </c>
      <c r="I7" s="8" t="inlineStr">
        <is>
          <t>Presence %</t>
        </is>
      </c>
      <c r="J7" s="8" t="inlineStr">
        <is>
          <t>Attendance Status</t>
        </is>
      </c>
      <c r="K7" s="8" t="inlineStr">
        <is>
          <t>Punctuality Status</t>
        </is>
      </c>
    </row>
    <row r="8">
      <c r="A8" s="19" t="n">
        <v>4</v>
      </c>
      <c r="B8" s="19" t="n">
        <v>1</v>
      </c>
      <c r="C8" s="4" t="inlineStr">
        <is>
          <t>Md. Asif Samrat</t>
        </is>
      </c>
      <c r="D8" s="19" t="inlineStr">
        <is>
          <t>2026-08-30</t>
        </is>
      </c>
      <c r="E8" s="19" t="inlineStr">
        <is>
          <t>00:53:00</t>
        </is>
      </c>
      <c r="F8" s="19" t="inlineStr">
        <is>
          <t>00:56:15</t>
        </is>
      </c>
      <c r="G8" s="20" t="n">
        <v>3</v>
      </c>
      <c r="H8" s="20" t="n">
        <v>60</v>
      </c>
      <c r="I8" s="21">
        <f>G8/H8</f>
        <v/>
      </c>
      <c r="J8" s="19">
        <f>IF(I8&gt;=0.75, "PRESENT", IF(I8&gt;=0.25, "PARTIAL", "ABSENT"))</f>
        <v/>
      </c>
      <c r="K8" s="19">
        <f>IF(E8&gt;"09:15:00", "LATE", "ON TIME")</f>
        <v/>
      </c>
    </row>
    <row r="9">
      <c r="A9" s="15" t="n">
        <v>3</v>
      </c>
      <c r="B9" s="15" t="n">
        <v>1</v>
      </c>
      <c r="C9" s="16" t="inlineStr">
        <is>
          <t>Md. Asif Samrat</t>
        </is>
      </c>
      <c r="D9" s="15" t="inlineStr">
        <is>
          <t>2026-08-29</t>
        </is>
      </c>
      <c r="E9" s="15" t="inlineStr">
        <is>
          <t>19:42:19</t>
        </is>
      </c>
      <c r="F9" s="15" t="inlineStr">
        <is>
          <t>20:43:07</t>
        </is>
      </c>
      <c r="G9" s="17" t="n">
        <v>60</v>
      </c>
      <c r="H9" s="17" t="n">
        <v>60</v>
      </c>
      <c r="I9" s="18">
        <f>G9/H9</f>
        <v/>
      </c>
      <c r="J9" s="15">
        <f>IF(I9&gt;=0.75, "PRESENT", IF(I9&gt;=0.25, "PARTIAL", "ABSENT"))</f>
        <v/>
      </c>
      <c r="K9" s="15">
        <f>IF(E9&gt;"09:15:00", "LATE", "ON TIME")</f>
        <v/>
      </c>
    </row>
    <row r="10">
      <c r="A10" s="19" t="n">
        <v>2</v>
      </c>
      <c r="B10" s="19" t="n">
        <v>2</v>
      </c>
      <c r="C10" s="4" t="inlineStr">
        <is>
          <t>Atikur Rahman Tamim</t>
        </is>
      </c>
      <c r="D10" s="19" t="inlineStr">
        <is>
          <t>2026-08-28</t>
        </is>
      </c>
      <c r="E10" s="19" t="inlineStr">
        <is>
          <t>20:36:22</t>
        </is>
      </c>
      <c r="F10" s="19" t="inlineStr">
        <is>
          <t>20:37:23</t>
        </is>
      </c>
      <c r="G10" s="20" t="n">
        <v>1</v>
      </c>
      <c r="H10" s="20" t="n">
        <v>60</v>
      </c>
      <c r="I10" s="21">
        <f>G10/H10</f>
        <v/>
      </c>
      <c r="J10" s="19">
        <f>IF(I10&gt;=0.75, "PRESENT", IF(I10&gt;=0.25, "PARTIAL", "ABSENT"))</f>
        <v/>
      </c>
      <c r="K10" s="19">
        <f>IF(E10&gt;"09:15:00", "LATE", "ON TIME")</f>
        <v/>
      </c>
    </row>
    <row r="11">
      <c r="A11" s="15" t="n">
        <v>1</v>
      </c>
      <c r="B11" s="15" t="n">
        <v>1</v>
      </c>
      <c r="C11" s="16" t="inlineStr">
        <is>
          <t>Md. Asif Samrat</t>
        </is>
      </c>
      <c r="D11" s="15" t="inlineStr">
        <is>
          <t>2026-08-28</t>
        </is>
      </c>
      <c r="E11" s="15" t="inlineStr">
        <is>
          <t>20:20:01</t>
        </is>
      </c>
      <c r="F11" s="15" t="inlineStr">
        <is>
          <t>21:14:52</t>
        </is>
      </c>
      <c r="G11" s="17" t="n">
        <v>54</v>
      </c>
      <c r="H11" s="17" t="n">
        <v>60</v>
      </c>
      <c r="I11" s="18">
        <f>G11/H11</f>
        <v/>
      </c>
      <c r="J11" s="15">
        <f>IF(I11&gt;=0.75, "PRESENT", IF(I11&gt;=0.25, "PARTIAL", "ABSENT"))</f>
        <v/>
      </c>
      <c r="K11" s="15">
        <f>IF(E11&gt;"09:15:00", "LATE", "ON TIME")</f>
        <v/>
      </c>
    </row>
    <row r="12">
      <c r="A12" s="19" t="n">
        <v>5</v>
      </c>
      <c r="B12" s="19" t="n">
        <v>1</v>
      </c>
      <c r="C12" s="4" t="inlineStr">
        <is>
          <t>Md. Asif Samrat</t>
        </is>
      </c>
      <c r="D12" s="19" t="inlineStr">
        <is>
          <t>2026-08-25</t>
        </is>
      </c>
      <c r="E12" s="19" t="inlineStr">
        <is>
          <t>08:07:00</t>
        </is>
      </c>
      <c r="F12" s="19" t="inlineStr">
        <is>
          <t>09:07:00</t>
        </is>
      </c>
      <c r="G12" s="20" t="n">
        <v>15</v>
      </c>
      <c r="H12" s="20" t="n">
        <v>60</v>
      </c>
      <c r="I12" s="21">
        <f>G12/H12</f>
        <v/>
      </c>
      <c r="J12" s="19">
        <f>IF(I12&gt;=0.75, "PRESENT", IF(I12&gt;=0.25, "PARTIAL", "ABSENT"))</f>
        <v/>
      </c>
      <c r="K12" s="19">
        <f>IF(E12&gt;"09:15:00", "LATE", "ON TIME")</f>
        <v/>
      </c>
    </row>
    <row r="13">
      <c r="A13" s="15" t="n">
        <v>6</v>
      </c>
      <c r="B13" s="15" t="n">
        <v>2</v>
      </c>
      <c r="C13" s="16" t="inlineStr">
        <is>
          <t>Atikur Rahman Tamim</t>
        </is>
      </c>
      <c r="D13" s="15" t="inlineStr">
        <is>
          <t>2026-08-25</t>
        </is>
      </c>
      <c r="E13" s="15" t="inlineStr">
        <is>
          <t>09:14:00</t>
        </is>
      </c>
      <c r="F13" s="15" t="inlineStr">
        <is>
          <t>10:14:00</t>
        </is>
      </c>
      <c r="G13" s="17" t="n">
        <v>60</v>
      </c>
      <c r="H13" s="17" t="n">
        <v>60</v>
      </c>
      <c r="I13" s="18">
        <f>G13/H13</f>
        <v/>
      </c>
      <c r="J13" s="15">
        <f>IF(I13&gt;=0.75, "PRESENT", IF(I13&gt;=0.25, "PARTIAL", "ABSENT"))</f>
        <v/>
      </c>
      <c r="K13" s="15">
        <f>IF(E13&gt;"09:15:00", "LATE", "ON TIME")</f>
        <v/>
      </c>
    </row>
    <row r="14">
      <c r="A14" s="19" t="n">
        <v>7</v>
      </c>
      <c r="B14" s="19" t="n">
        <v>3</v>
      </c>
      <c r="C14" s="4" t="inlineStr">
        <is>
          <t>Shahriar Ahmed</t>
        </is>
      </c>
      <c r="D14" s="19" t="inlineStr">
        <is>
          <t>2026-08-25</t>
        </is>
      </c>
      <c r="E14" s="19" t="inlineStr">
        <is>
          <t>08:21:00</t>
        </is>
      </c>
      <c r="F14" s="19" t="inlineStr">
        <is>
          <t>09:21:00</t>
        </is>
      </c>
      <c r="G14" s="20" t="n">
        <v>45</v>
      </c>
      <c r="H14" s="20" t="n">
        <v>60</v>
      </c>
      <c r="I14" s="21">
        <f>G14/H14</f>
        <v/>
      </c>
      <c r="J14" s="19">
        <f>IF(I14&gt;=0.75, "PRESENT", IF(I14&gt;=0.25, "PARTIAL", "ABSENT"))</f>
        <v/>
      </c>
      <c r="K14" s="19">
        <f>IF(E14&gt;"09:15:00", "LATE", "ON TIME")</f>
        <v/>
      </c>
    </row>
    <row r="15">
      <c r="A15" s="15" t="n">
        <v>8</v>
      </c>
      <c r="B15" s="15" t="n">
        <v>4</v>
      </c>
      <c r="C15" s="16" t="inlineStr">
        <is>
          <t>Nusrat Jahan</t>
        </is>
      </c>
      <c r="D15" s="15" t="inlineStr">
        <is>
          <t>2026-08-25</t>
        </is>
      </c>
      <c r="E15" s="15" t="inlineStr">
        <is>
          <t>09:28:00</t>
        </is>
      </c>
      <c r="F15" s="15" t="inlineStr">
        <is>
          <t>10:28:00</t>
        </is>
      </c>
      <c r="G15" s="17" t="n">
        <v>60</v>
      </c>
      <c r="H15" s="17" t="n">
        <v>60</v>
      </c>
      <c r="I15" s="18">
        <f>G15/H15</f>
        <v/>
      </c>
      <c r="J15" s="15">
        <f>IF(I15&gt;=0.75, "PRESENT", IF(I15&gt;=0.25, "PARTIAL", "ABSENT"))</f>
        <v/>
      </c>
      <c r="K15" s="15">
        <f>IF(E15&gt;"09:15:00", "LATE", "ON TIME")</f>
        <v/>
      </c>
    </row>
    <row r="16">
      <c r="A16" s="19" t="n">
        <v>9</v>
      </c>
      <c r="B16" s="19" t="n">
        <v>5</v>
      </c>
      <c r="C16" s="4" t="inlineStr">
        <is>
          <t>Tanvir Hasan</t>
        </is>
      </c>
      <c r="D16" s="19" t="inlineStr">
        <is>
          <t>2026-08-25</t>
        </is>
      </c>
      <c r="E16" s="19" t="inlineStr">
        <is>
          <t>08:05:00</t>
        </is>
      </c>
      <c r="F16" s="19" t="inlineStr">
        <is>
          <t>09:05:00</t>
        </is>
      </c>
      <c r="G16" s="20" t="n">
        <v>15</v>
      </c>
      <c r="H16" s="20" t="n">
        <v>60</v>
      </c>
      <c r="I16" s="21">
        <f>G16/H16</f>
        <v/>
      </c>
      <c r="J16" s="19">
        <f>IF(I16&gt;=0.75, "PRESENT", IF(I16&gt;=0.25, "PARTIAL", "ABSENT"))</f>
        <v/>
      </c>
      <c r="K16" s="19">
        <f>IF(E16&gt;"09:15:00", "LATE", "ON TIME")</f>
        <v/>
      </c>
    </row>
    <row r="17">
      <c r="A17" s="15" t="n">
        <v>10</v>
      </c>
      <c r="B17" s="15" t="n">
        <v>6</v>
      </c>
      <c r="C17" s="16" t="inlineStr">
        <is>
          <t>Faria Chowdhury</t>
        </is>
      </c>
      <c r="D17" s="15" t="inlineStr">
        <is>
          <t>2026-08-25</t>
        </is>
      </c>
      <c r="E17" s="15" t="inlineStr">
        <is>
          <t>09:12:00</t>
        </is>
      </c>
      <c r="F17" s="15" t="inlineStr">
        <is>
          <t>10:12:00</t>
        </is>
      </c>
      <c r="G17" s="17" t="n">
        <v>60</v>
      </c>
      <c r="H17" s="17" t="n">
        <v>60</v>
      </c>
      <c r="I17" s="18">
        <f>G17/H17</f>
        <v/>
      </c>
      <c r="J17" s="15">
        <f>IF(I17&gt;=0.75, "PRESENT", IF(I17&gt;=0.25, "PARTIAL", "ABSENT"))</f>
        <v/>
      </c>
      <c r="K17" s="15">
        <f>IF(E17&gt;"09:15:00", "LATE", "ON TIME")</f>
        <v/>
      </c>
    </row>
    <row r="18">
      <c r="A18" s="19" t="n">
        <v>11</v>
      </c>
      <c r="B18" s="19" t="n">
        <v>7</v>
      </c>
      <c r="C18" s="4" t="inlineStr">
        <is>
          <t>Mahmudul Haq</t>
        </is>
      </c>
      <c r="D18" s="19" t="inlineStr">
        <is>
          <t>2026-08-25</t>
        </is>
      </c>
      <c r="E18" s="19" t="inlineStr">
        <is>
          <t>08:19:00</t>
        </is>
      </c>
      <c r="F18" s="19" t="inlineStr">
        <is>
          <t>09:19:00</t>
        </is>
      </c>
      <c r="G18" s="20" t="n">
        <v>15</v>
      </c>
      <c r="H18" s="20" t="n">
        <v>60</v>
      </c>
      <c r="I18" s="21">
        <f>G18/H18</f>
        <v/>
      </c>
      <c r="J18" s="19">
        <f>IF(I18&gt;=0.75, "PRESENT", IF(I18&gt;=0.25, "PARTIAL", "ABSENT"))</f>
        <v/>
      </c>
      <c r="K18" s="19">
        <f>IF(E18&gt;"09:15:00", "LATE", "ON TIME")</f>
        <v/>
      </c>
    </row>
    <row r="19">
      <c r="A19" s="15" t="n">
        <v>12</v>
      </c>
      <c r="B19" s="15" t="n">
        <v>8</v>
      </c>
      <c r="C19" s="16" t="inlineStr">
        <is>
          <t>Sultana Razia</t>
        </is>
      </c>
      <c r="D19" s="15" t="inlineStr">
        <is>
          <t>2026-08-25</t>
        </is>
      </c>
      <c r="E19" s="15" t="inlineStr">
        <is>
          <t>09:26:00</t>
        </is>
      </c>
      <c r="F19" s="15" t="inlineStr">
        <is>
          <t>10:26:00</t>
        </is>
      </c>
      <c r="G19" s="17" t="n">
        <v>60</v>
      </c>
      <c r="H19" s="17" t="n">
        <v>60</v>
      </c>
      <c r="I19" s="18">
        <f>G19/H19</f>
        <v/>
      </c>
      <c r="J19" s="15">
        <f>IF(I19&gt;=0.75, "PRESENT", IF(I19&gt;=0.25, "PARTIAL", "ABSENT"))</f>
        <v/>
      </c>
      <c r="K19" s="15">
        <f>IF(E19&gt;"09:15:00", "LATE", "ON TIME")</f>
        <v/>
      </c>
    </row>
    <row r="20">
      <c r="A20" s="19" t="n">
        <v>13</v>
      </c>
      <c r="B20" s="19" t="n">
        <v>1</v>
      </c>
      <c r="C20" s="4" t="inlineStr">
        <is>
          <t>Md. Asif Samrat</t>
        </is>
      </c>
      <c r="D20" s="19" t="inlineStr">
        <is>
          <t>2026-08-26</t>
        </is>
      </c>
      <c r="E20" s="19" t="inlineStr">
        <is>
          <t>08:07:00</t>
        </is>
      </c>
      <c r="F20" s="19" t="inlineStr">
        <is>
          <t>09:07:00</t>
        </is>
      </c>
      <c r="G20" s="20" t="n">
        <v>15</v>
      </c>
      <c r="H20" s="20" t="n">
        <v>60</v>
      </c>
      <c r="I20" s="21">
        <f>G20/H20</f>
        <v/>
      </c>
      <c r="J20" s="19">
        <f>IF(I20&gt;=0.75, "PRESENT", IF(I20&gt;=0.25, "PARTIAL", "ABSENT"))</f>
        <v/>
      </c>
      <c r="K20" s="19">
        <f>IF(E20&gt;"09:15:00", "LATE", "ON TIME")</f>
        <v/>
      </c>
    </row>
    <row r="21">
      <c r="A21" s="15" t="n">
        <v>14</v>
      </c>
      <c r="B21" s="15" t="n">
        <v>2</v>
      </c>
      <c r="C21" s="16" t="inlineStr">
        <is>
          <t>Atikur Rahman Tamim</t>
        </is>
      </c>
      <c r="D21" s="15" t="inlineStr">
        <is>
          <t>2026-08-26</t>
        </is>
      </c>
      <c r="E21" s="15" t="inlineStr">
        <is>
          <t>09:14:00</t>
        </is>
      </c>
      <c r="F21" s="15" t="inlineStr">
        <is>
          <t>10:14:00</t>
        </is>
      </c>
      <c r="G21" s="17" t="n">
        <v>60</v>
      </c>
      <c r="H21" s="17" t="n">
        <v>60</v>
      </c>
      <c r="I21" s="18">
        <f>G21/H21</f>
        <v/>
      </c>
      <c r="J21" s="15">
        <f>IF(I21&gt;=0.75, "PRESENT", IF(I21&gt;=0.25, "PARTIAL", "ABSENT"))</f>
        <v/>
      </c>
      <c r="K21" s="15">
        <f>IF(E21&gt;"09:15:00", "LATE", "ON TIME")</f>
        <v/>
      </c>
    </row>
    <row r="22">
      <c r="A22" s="19" t="n">
        <v>15</v>
      </c>
      <c r="B22" s="19" t="n">
        <v>3</v>
      </c>
      <c r="C22" s="4" t="inlineStr">
        <is>
          <t>Shahriar Ahmed</t>
        </is>
      </c>
      <c r="D22" s="19" t="inlineStr">
        <is>
          <t>2026-08-26</t>
        </is>
      </c>
      <c r="E22" s="19" t="inlineStr">
        <is>
          <t>08:21:00</t>
        </is>
      </c>
      <c r="F22" s="19" t="inlineStr">
        <is>
          <t>09:21:00</t>
        </is>
      </c>
      <c r="G22" s="20" t="n">
        <v>45</v>
      </c>
      <c r="H22" s="20" t="n">
        <v>60</v>
      </c>
      <c r="I22" s="21">
        <f>G22/H22</f>
        <v/>
      </c>
      <c r="J22" s="19">
        <f>IF(I22&gt;=0.75, "PRESENT", IF(I22&gt;=0.25, "PARTIAL", "ABSENT"))</f>
        <v/>
      </c>
      <c r="K22" s="19">
        <f>IF(E22&gt;"09:15:00", "LATE", "ON TIME")</f>
        <v/>
      </c>
    </row>
    <row r="23">
      <c r="A23" s="15" t="n">
        <v>16</v>
      </c>
      <c r="B23" s="15" t="n">
        <v>4</v>
      </c>
      <c r="C23" s="16" t="inlineStr">
        <is>
          <t>Nusrat Jahan</t>
        </is>
      </c>
      <c r="D23" s="15" t="inlineStr">
        <is>
          <t>2026-08-26</t>
        </is>
      </c>
      <c r="E23" s="15" t="inlineStr">
        <is>
          <t>09:28:00</t>
        </is>
      </c>
      <c r="F23" s="15" t="inlineStr">
        <is>
          <t>10:28:00</t>
        </is>
      </c>
      <c r="G23" s="17" t="n">
        <v>60</v>
      </c>
      <c r="H23" s="17" t="n">
        <v>60</v>
      </c>
      <c r="I23" s="18">
        <f>G23/H23</f>
        <v/>
      </c>
      <c r="J23" s="15">
        <f>IF(I23&gt;=0.75, "PRESENT", IF(I23&gt;=0.25, "PARTIAL", "ABSENT"))</f>
        <v/>
      </c>
      <c r="K23" s="15">
        <f>IF(E23&gt;"09:15:00", "LATE", "ON TIME")</f>
        <v/>
      </c>
    </row>
    <row r="24">
      <c r="A24" s="19" t="n">
        <v>17</v>
      </c>
      <c r="B24" s="19" t="n">
        <v>5</v>
      </c>
      <c r="C24" s="4" t="inlineStr">
        <is>
          <t>Tanvir Hasan</t>
        </is>
      </c>
      <c r="D24" s="19" t="inlineStr">
        <is>
          <t>2026-08-26</t>
        </is>
      </c>
      <c r="E24" s="19" t="inlineStr">
        <is>
          <t>08:05:00</t>
        </is>
      </c>
      <c r="F24" s="19" t="inlineStr">
        <is>
          <t>09:05:00</t>
        </is>
      </c>
      <c r="G24" s="20" t="n">
        <v>15</v>
      </c>
      <c r="H24" s="20" t="n">
        <v>60</v>
      </c>
      <c r="I24" s="21">
        <f>G24/H24</f>
        <v/>
      </c>
      <c r="J24" s="19">
        <f>IF(I24&gt;=0.75, "PRESENT", IF(I24&gt;=0.25, "PARTIAL", "ABSENT"))</f>
        <v/>
      </c>
      <c r="K24" s="19">
        <f>IF(E24&gt;"09:15:00", "LATE", "ON TIME")</f>
        <v/>
      </c>
    </row>
    <row r="25">
      <c r="A25" s="15" t="n">
        <v>18</v>
      </c>
      <c r="B25" s="15" t="n">
        <v>6</v>
      </c>
      <c r="C25" s="16" t="inlineStr">
        <is>
          <t>Faria Chowdhury</t>
        </is>
      </c>
      <c r="D25" s="15" t="inlineStr">
        <is>
          <t>2026-08-26</t>
        </is>
      </c>
      <c r="E25" s="15" t="inlineStr">
        <is>
          <t>09:12:00</t>
        </is>
      </c>
      <c r="F25" s="15" t="inlineStr">
        <is>
          <t>10:12:00</t>
        </is>
      </c>
      <c r="G25" s="17" t="n">
        <v>60</v>
      </c>
      <c r="H25" s="17" t="n">
        <v>60</v>
      </c>
      <c r="I25" s="18">
        <f>G25/H25</f>
        <v/>
      </c>
      <c r="J25" s="15">
        <f>IF(I25&gt;=0.75, "PRESENT", IF(I25&gt;=0.25, "PARTIAL", "ABSENT"))</f>
        <v/>
      </c>
      <c r="K25" s="15">
        <f>IF(E25&gt;"09:15:00", "LATE", "ON TIME")</f>
        <v/>
      </c>
    </row>
    <row r="26">
      <c r="A26" s="19" t="n">
        <v>19</v>
      </c>
      <c r="B26" s="19" t="n">
        <v>7</v>
      </c>
      <c r="C26" s="4" t="inlineStr">
        <is>
          <t>Mahmudul Haq</t>
        </is>
      </c>
      <c r="D26" s="19" t="inlineStr">
        <is>
          <t>2026-08-26</t>
        </is>
      </c>
      <c r="E26" s="19" t="inlineStr">
        <is>
          <t>08:19:00</t>
        </is>
      </c>
      <c r="F26" s="19" t="inlineStr">
        <is>
          <t>09:19:00</t>
        </is>
      </c>
      <c r="G26" s="20" t="n">
        <v>15</v>
      </c>
      <c r="H26" s="20" t="n">
        <v>60</v>
      </c>
      <c r="I26" s="21">
        <f>G26/H26</f>
        <v/>
      </c>
      <c r="J26" s="19">
        <f>IF(I26&gt;=0.75, "PRESENT", IF(I26&gt;=0.25, "PARTIAL", "ABSENT"))</f>
        <v/>
      </c>
      <c r="K26" s="19">
        <f>IF(E26&gt;"09:15:00", "LATE", "ON TIME")</f>
        <v/>
      </c>
    </row>
    <row r="27">
      <c r="A27" s="15" t="n">
        <v>20</v>
      </c>
      <c r="B27" s="15" t="n">
        <v>8</v>
      </c>
      <c r="C27" s="16" t="inlineStr">
        <is>
          <t>Sultana Razia</t>
        </is>
      </c>
      <c r="D27" s="15" t="inlineStr">
        <is>
          <t>2026-08-26</t>
        </is>
      </c>
      <c r="E27" s="15" t="inlineStr">
        <is>
          <t>09:26:00</t>
        </is>
      </c>
      <c r="F27" s="15" t="inlineStr">
        <is>
          <t>10:26:00</t>
        </is>
      </c>
      <c r="G27" s="17" t="n">
        <v>60</v>
      </c>
      <c r="H27" s="17" t="n">
        <v>60</v>
      </c>
      <c r="I27" s="18">
        <f>G27/H27</f>
        <v/>
      </c>
      <c r="J27" s="15">
        <f>IF(I27&gt;=0.75, "PRESENT", IF(I27&gt;=0.25, "PARTIAL", "ABSENT"))</f>
        <v/>
      </c>
      <c r="K27" s="15">
        <f>IF(E27&gt;"09:15:00", "LATE", "ON TIME")</f>
        <v/>
      </c>
    </row>
    <row r="28">
      <c r="A28" s="19" t="n">
        <v>21</v>
      </c>
      <c r="B28" s="19" t="n">
        <v>1</v>
      </c>
      <c r="C28" s="4" t="inlineStr">
        <is>
          <t>Md. Asif Samrat</t>
        </is>
      </c>
      <c r="D28" s="19" t="inlineStr">
        <is>
          <t>2026-08-27</t>
        </is>
      </c>
      <c r="E28" s="19" t="inlineStr">
        <is>
          <t>08:07:00</t>
        </is>
      </c>
      <c r="F28" s="19" t="inlineStr">
        <is>
          <t>09:07:00</t>
        </is>
      </c>
      <c r="G28" s="20" t="n">
        <v>15</v>
      </c>
      <c r="H28" s="20" t="n">
        <v>60</v>
      </c>
      <c r="I28" s="21">
        <f>G28/H28</f>
        <v/>
      </c>
      <c r="J28" s="19">
        <f>IF(I28&gt;=0.75, "PRESENT", IF(I28&gt;=0.25, "PARTIAL", "ABSENT"))</f>
        <v/>
      </c>
      <c r="K28" s="19">
        <f>IF(E28&gt;"09:15:00", "LATE", "ON TIME")</f>
        <v/>
      </c>
    </row>
    <row r="29">
      <c r="A29" s="15" t="n">
        <v>22</v>
      </c>
      <c r="B29" s="15" t="n">
        <v>2</v>
      </c>
      <c r="C29" s="16" t="inlineStr">
        <is>
          <t>Atikur Rahman Tamim</t>
        </is>
      </c>
      <c r="D29" s="15" t="inlineStr">
        <is>
          <t>2026-08-27</t>
        </is>
      </c>
      <c r="E29" s="15" t="inlineStr">
        <is>
          <t>09:14:00</t>
        </is>
      </c>
      <c r="F29" s="15" t="inlineStr">
        <is>
          <t>10:14:00</t>
        </is>
      </c>
      <c r="G29" s="17" t="n">
        <v>60</v>
      </c>
      <c r="H29" s="17" t="n">
        <v>60</v>
      </c>
      <c r="I29" s="18">
        <f>G29/H29</f>
        <v/>
      </c>
      <c r="J29" s="15">
        <f>IF(I29&gt;=0.75, "PRESENT", IF(I29&gt;=0.25, "PARTIAL", "ABSENT"))</f>
        <v/>
      </c>
      <c r="K29" s="15">
        <f>IF(E29&gt;"09:15:00", "LATE", "ON TIME")</f>
        <v/>
      </c>
    </row>
    <row r="30">
      <c r="A30" s="19" t="n">
        <v>23</v>
      </c>
      <c r="B30" s="19" t="n">
        <v>3</v>
      </c>
      <c r="C30" s="4" t="inlineStr">
        <is>
          <t>Shahriar Ahmed</t>
        </is>
      </c>
      <c r="D30" s="19" t="inlineStr">
        <is>
          <t>2026-08-27</t>
        </is>
      </c>
      <c r="E30" s="19" t="inlineStr">
        <is>
          <t>08:21:00</t>
        </is>
      </c>
      <c r="F30" s="19" t="inlineStr">
        <is>
          <t>09:21:00</t>
        </is>
      </c>
      <c r="G30" s="20" t="n">
        <v>45</v>
      </c>
      <c r="H30" s="20" t="n">
        <v>60</v>
      </c>
      <c r="I30" s="21">
        <f>G30/H30</f>
        <v/>
      </c>
      <c r="J30" s="19">
        <f>IF(I30&gt;=0.75, "PRESENT", IF(I30&gt;=0.25, "PARTIAL", "ABSENT"))</f>
        <v/>
      </c>
      <c r="K30" s="19">
        <f>IF(E30&gt;"09:15:00", "LATE", "ON TIME")</f>
        <v/>
      </c>
    </row>
    <row r="31">
      <c r="A31" s="15" t="n">
        <v>24</v>
      </c>
      <c r="B31" s="15" t="n">
        <v>4</v>
      </c>
      <c r="C31" s="16" t="inlineStr">
        <is>
          <t>Nusrat Jahan</t>
        </is>
      </c>
      <c r="D31" s="15" t="inlineStr">
        <is>
          <t>2026-08-27</t>
        </is>
      </c>
      <c r="E31" s="15" t="inlineStr">
        <is>
          <t>09:28:00</t>
        </is>
      </c>
      <c r="F31" s="15" t="inlineStr">
        <is>
          <t>10:28:00</t>
        </is>
      </c>
      <c r="G31" s="17" t="n">
        <v>60</v>
      </c>
      <c r="H31" s="17" t="n">
        <v>60</v>
      </c>
      <c r="I31" s="18">
        <f>G31/H31</f>
        <v/>
      </c>
      <c r="J31" s="15">
        <f>IF(I31&gt;=0.75, "PRESENT", IF(I31&gt;=0.25, "PARTIAL", "ABSENT"))</f>
        <v/>
      </c>
      <c r="K31" s="15">
        <f>IF(E31&gt;"09:15:00", "LATE", "ON TIME")</f>
        <v/>
      </c>
    </row>
    <row r="32">
      <c r="A32" s="19" t="n">
        <v>25</v>
      </c>
      <c r="B32" s="19" t="n">
        <v>5</v>
      </c>
      <c r="C32" s="4" t="inlineStr">
        <is>
          <t>Tanvir Hasan</t>
        </is>
      </c>
      <c r="D32" s="19" t="inlineStr">
        <is>
          <t>2026-08-27</t>
        </is>
      </c>
      <c r="E32" s="19" t="inlineStr">
        <is>
          <t>08:05:00</t>
        </is>
      </c>
      <c r="F32" s="19" t="inlineStr">
        <is>
          <t>09:05:00</t>
        </is>
      </c>
      <c r="G32" s="20" t="n">
        <v>15</v>
      </c>
      <c r="H32" s="20" t="n">
        <v>60</v>
      </c>
      <c r="I32" s="21">
        <f>G32/H32</f>
        <v/>
      </c>
      <c r="J32" s="19">
        <f>IF(I32&gt;=0.75, "PRESENT", IF(I32&gt;=0.25, "PARTIAL", "ABSENT"))</f>
        <v/>
      </c>
      <c r="K32" s="19">
        <f>IF(E32&gt;"09:15:00", "LATE", "ON TIME")</f>
        <v/>
      </c>
    </row>
    <row r="33">
      <c r="A33" s="15" t="n">
        <v>26</v>
      </c>
      <c r="B33" s="15" t="n">
        <v>6</v>
      </c>
      <c r="C33" s="16" t="inlineStr">
        <is>
          <t>Faria Chowdhury</t>
        </is>
      </c>
      <c r="D33" s="15" t="inlineStr">
        <is>
          <t>2026-08-27</t>
        </is>
      </c>
      <c r="E33" s="15" t="inlineStr">
        <is>
          <t>09:12:00</t>
        </is>
      </c>
      <c r="F33" s="15" t="inlineStr">
        <is>
          <t>10:12:00</t>
        </is>
      </c>
      <c r="G33" s="17" t="n">
        <v>60</v>
      </c>
      <c r="H33" s="17" t="n">
        <v>60</v>
      </c>
      <c r="I33" s="18">
        <f>G33/H33</f>
        <v/>
      </c>
      <c r="J33" s="15">
        <f>IF(I33&gt;=0.75, "PRESENT", IF(I33&gt;=0.25, "PARTIAL", "ABSENT"))</f>
        <v/>
      </c>
      <c r="K33" s="15">
        <f>IF(E33&gt;"09:15:00", "LATE", "ON TIME")</f>
        <v/>
      </c>
    </row>
    <row r="34">
      <c r="A34" s="19" t="n">
        <v>27</v>
      </c>
      <c r="B34" s="19" t="n">
        <v>7</v>
      </c>
      <c r="C34" s="4" t="inlineStr">
        <is>
          <t>Mahmudul Haq</t>
        </is>
      </c>
      <c r="D34" s="19" t="inlineStr">
        <is>
          <t>2026-08-27</t>
        </is>
      </c>
      <c r="E34" s="19" t="inlineStr">
        <is>
          <t>08:19:00</t>
        </is>
      </c>
      <c r="F34" s="19" t="inlineStr">
        <is>
          <t>09:19:00</t>
        </is>
      </c>
      <c r="G34" s="20" t="n">
        <v>15</v>
      </c>
      <c r="H34" s="20" t="n">
        <v>60</v>
      </c>
      <c r="I34" s="21">
        <f>G34/H34</f>
        <v/>
      </c>
      <c r="J34" s="19">
        <f>IF(I34&gt;=0.75, "PRESENT", IF(I34&gt;=0.25, "PARTIAL", "ABSENT"))</f>
        <v/>
      </c>
      <c r="K34" s="19">
        <f>IF(E34&gt;"09:15:00", "LATE", "ON TIME")</f>
        <v/>
      </c>
    </row>
    <row r="35">
      <c r="A35" s="15" t="n">
        <v>28</v>
      </c>
      <c r="B35" s="15" t="n">
        <v>8</v>
      </c>
      <c r="C35" s="16" t="inlineStr">
        <is>
          <t>Sultana Razia</t>
        </is>
      </c>
      <c r="D35" s="15" t="inlineStr">
        <is>
          <t>2026-08-27</t>
        </is>
      </c>
      <c r="E35" s="15" t="inlineStr">
        <is>
          <t>09:26:00</t>
        </is>
      </c>
      <c r="F35" s="15" t="inlineStr">
        <is>
          <t>10:26:00</t>
        </is>
      </c>
      <c r="G35" s="17" t="n">
        <v>60</v>
      </c>
      <c r="H35" s="17" t="n">
        <v>60</v>
      </c>
      <c r="I35" s="18">
        <f>G35/H35</f>
        <v/>
      </c>
      <c r="J35" s="15">
        <f>IF(I35&gt;=0.75, "PRESENT", IF(I35&gt;=0.25, "PARTIAL", "ABSENT"))</f>
        <v/>
      </c>
      <c r="K35" s="15">
        <f>IF(E35&gt;"09:15:00", "LATE", "ON TIME")</f>
        <v/>
      </c>
    </row>
    <row r="36">
      <c r="A36" s="19" t="n">
        <v>29</v>
      </c>
      <c r="B36" s="19" t="n">
        <v>3</v>
      </c>
      <c r="C36" s="4" t="inlineStr">
        <is>
          <t>Shahriar Ahmed</t>
        </is>
      </c>
      <c r="D36" s="19" t="inlineStr">
        <is>
          <t>2026-08-28</t>
        </is>
      </c>
      <c r="E36" s="19" t="inlineStr">
        <is>
          <t>08:21:00</t>
        </is>
      </c>
      <c r="F36" s="19" t="inlineStr">
        <is>
          <t>09:21:00</t>
        </is>
      </c>
      <c r="G36" s="20" t="n">
        <v>45</v>
      </c>
      <c r="H36" s="20" t="n">
        <v>60</v>
      </c>
      <c r="I36" s="21">
        <f>G36/H36</f>
        <v/>
      </c>
      <c r="J36" s="19">
        <f>IF(I36&gt;=0.75, "PRESENT", IF(I36&gt;=0.25, "PARTIAL", "ABSENT"))</f>
        <v/>
      </c>
      <c r="K36" s="19">
        <f>IF(E36&gt;"09:15:00", "LATE", "ON TIME")</f>
        <v/>
      </c>
    </row>
    <row r="37">
      <c r="A37" s="15" t="n">
        <v>30</v>
      </c>
      <c r="B37" s="15" t="n">
        <v>4</v>
      </c>
      <c r="C37" s="16" t="inlineStr">
        <is>
          <t>Nusrat Jahan</t>
        </is>
      </c>
      <c r="D37" s="15" t="inlineStr">
        <is>
          <t>2026-08-28</t>
        </is>
      </c>
      <c r="E37" s="15" t="inlineStr">
        <is>
          <t>09:28:00</t>
        </is>
      </c>
      <c r="F37" s="15" t="inlineStr">
        <is>
          <t>10:28:00</t>
        </is>
      </c>
      <c r="G37" s="17" t="n">
        <v>60</v>
      </c>
      <c r="H37" s="17" t="n">
        <v>60</v>
      </c>
      <c r="I37" s="18">
        <f>G37/H37</f>
        <v/>
      </c>
      <c r="J37" s="15">
        <f>IF(I37&gt;=0.75, "PRESENT", IF(I37&gt;=0.25, "PARTIAL", "ABSENT"))</f>
        <v/>
      </c>
      <c r="K37" s="15">
        <f>IF(E37&gt;"09:15:00", "LATE", "ON TIME")</f>
        <v/>
      </c>
    </row>
    <row r="38">
      <c r="A38" s="19" t="n">
        <v>31</v>
      </c>
      <c r="B38" s="19" t="n">
        <v>5</v>
      </c>
      <c r="C38" s="4" t="inlineStr">
        <is>
          <t>Tanvir Hasan</t>
        </is>
      </c>
      <c r="D38" s="19" t="inlineStr">
        <is>
          <t>2026-08-28</t>
        </is>
      </c>
      <c r="E38" s="19" t="inlineStr">
        <is>
          <t>08:05:00</t>
        </is>
      </c>
      <c r="F38" s="19" t="inlineStr">
        <is>
          <t>09:05:00</t>
        </is>
      </c>
      <c r="G38" s="20" t="n">
        <v>15</v>
      </c>
      <c r="H38" s="20" t="n">
        <v>60</v>
      </c>
      <c r="I38" s="21">
        <f>G38/H38</f>
        <v/>
      </c>
      <c r="J38" s="19">
        <f>IF(I38&gt;=0.75, "PRESENT", IF(I38&gt;=0.25, "PARTIAL", "ABSENT"))</f>
        <v/>
      </c>
      <c r="K38" s="19">
        <f>IF(E38&gt;"09:15:00", "LATE", "ON TIME")</f>
        <v/>
      </c>
    </row>
    <row r="39">
      <c r="A39" s="15" t="n">
        <v>32</v>
      </c>
      <c r="B39" s="15" t="n">
        <v>6</v>
      </c>
      <c r="C39" s="16" t="inlineStr">
        <is>
          <t>Faria Chowdhury</t>
        </is>
      </c>
      <c r="D39" s="15" t="inlineStr">
        <is>
          <t>2026-08-28</t>
        </is>
      </c>
      <c r="E39" s="15" t="inlineStr">
        <is>
          <t>09:12:00</t>
        </is>
      </c>
      <c r="F39" s="15" t="inlineStr">
        <is>
          <t>10:12:00</t>
        </is>
      </c>
      <c r="G39" s="17" t="n">
        <v>60</v>
      </c>
      <c r="H39" s="17" t="n">
        <v>60</v>
      </c>
      <c r="I39" s="18">
        <f>G39/H39</f>
        <v/>
      </c>
      <c r="J39" s="15">
        <f>IF(I39&gt;=0.75, "PRESENT", IF(I39&gt;=0.25, "PARTIAL", "ABSENT"))</f>
        <v/>
      </c>
      <c r="K39" s="15">
        <f>IF(E39&gt;"09:15:00", "LATE", "ON TIME")</f>
        <v/>
      </c>
    </row>
    <row r="40">
      <c r="A40" s="19" t="n">
        <v>33</v>
      </c>
      <c r="B40" s="19" t="n">
        <v>7</v>
      </c>
      <c r="C40" s="4" t="inlineStr">
        <is>
          <t>Mahmudul Haq</t>
        </is>
      </c>
      <c r="D40" s="19" t="inlineStr">
        <is>
          <t>2026-08-28</t>
        </is>
      </c>
      <c r="E40" s="19" t="inlineStr">
        <is>
          <t>08:19:00</t>
        </is>
      </c>
      <c r="F40" s="19" t="inlineStr">
        <is>
          <t>09:19:00</t>
        </is>
      </c>
      <c r="G40" s="20" t="n">
        <v>15</v>
      </c>
      <c r="H40" s="20" t="n">
        <v>60</v>
      </c>
      <c r="I40" s="21">
        <f>G40/H40</f>
        <v/>
      </c>
      <c r="J40" s="19">
        <f>IF(I40&gt;=0.75, "PRESENT", IF(I40&gt;=0.25, "PARTIAL", "ABSENT"))</f>
        <v/>
      </c>
      <c r="K40" s="19">
        <f>IF(E40&gt;"09:15:00", "LATE", "ON TIME")</f>
        <v/>
      </c>
    </row>
    <row r="41">
      <c r="A41" s="15" t="n">
        <v>34</v>
      </c>
      <c r="B41" s="15" t="n">
        <v>8</v>
      </c>
      <c r="C41" s="16" t="inlineStr">
        <is>
          <t>Sultana Razia</t>
        </is>
      </c>
      <c r="D41" s="15" t="inlineStr">
        <is>
          <t>2026-08-28</t>
        </is>
      </c>
      <c r="E41" s="15" t="inlineStr">
        <is>
          <t>09:26:00</t>
        </is>
      </c>
      <c r="F41" s="15" t="inlineStr">
        <is>
          <t>10:26:00</t>
        </is>
      </c>
      <c r="G41" s="17" t="n">
        <v>60</v>
      </c>
      <c r="H41" s="17" t="n">
        <v>60</v>
      </c>
      <c r="I41" s="18">
        <f>G41/H41</f>
        <v/>
      </c>
      <c r="J41" s="15">
        <f>IF(I41&gt;=0.75, "PRESENT", IF(I41&gt;=0.25, "PARTIAL", "ABSENT"))</f>
        <v/>
      </c>
      <c r="K41" s="15">
        <f>IF(E41&gt;"09:15:00", "LATE", "ON TIME")</f>
        <v/>
      </c>
    </row>
    <row r="42">
      <c r="A42" s="19" t="n">
        <v>35</v>
      </c>
      <c r="B42" s="19" t="n">
        <v>2</v>
      </c>
      <c r="C42" s="4" t="inlineStr">
        <is>
          <t>Atikur Rahman Tamim</t>
        </is>
      </c>
      <c r="D42" s="19" t="inlineStr">
        <is>
          <t>2026-08-29</t>
        </is>
      </c>
      <c r="E42" s="19" t="inlineStr">
        <is>
          <t>09:14:00</t>
        </is>
      </c>
      <c r="F42" s="19" t="inlineStr">
        <is>
          <t>10:14:00</t>
        </is>
      </c>
      <c r="G42" s="20" t="n">
        <v>60</v>
      </c>
      <c r="H42" s="20" t="n">
        <v>60</v>
      </c>
      <c r="I42" s="21">
        <f>G42/H42</f>
        <v/>
      </c>
      <c r="J42" s="19">
        <f>IF(I42&gt;=0.75, "PRESENT", IF(I42&gt;=0.25, "PARTIAL", "ABSENT"))</f>
        <v/>
      </c>
      <c r="K42" s="19">
        <f>IF(E42&gt;"09:15:00", "LATE", "ON TIME")</f>
        <v/>
      </c>
    </row>
    <row r="43">
      <c r="A43" s="15" t="n">
        <v>36</v>
      </c>
      <c r="B43" s="15" t="n">
        <v>3</v>
      </c>
      <c r="C43" s="16" t="inlineStr">
        <is>
          <t>Shahriar Ahmed</t>
        </is>
      </c>
      <c r="D43" s="15" t="inlineStr">
        <is>
          <t>2026-08-29</t>
        </is>
      </c>
      <c r="E43" s="15" t="inlineStr">
        <is>
          <t>08:21:00</t>
        </is>
      </c>
      <c r="F43" s="15" t="inlineStr">
        <is>
          <t>09:21:00</t>
        </is>
      </c>
      <c r="G43" s="17" t="n">
        <v>45</v>
      </c>
      <c r="H43" s="17" t="n">
        <v>60</v>
      </c>
      <c r="I43" s="18">
        <f>G43/H43</f>
        <v/>
      </c>
      <c r="J43" s="15">
        <f>IF(I43&gt;=0.75, "PRESENT", IF(I43&gt;=0.25, "PARTIAL", "ABSENT"))</f>
        <v/>
      </c>
      <c r="K43" s="15">
        <f>IF(E43&gt;"09:15:00", "LATE", "ON TIME")</f>
        <v/>
      </c>
    </row>
    <row r="44">
      <c r="A44" s="19" t="n">
        <v>37</v>
      </c>
      <c r="B44" s="19" t="n">
        <v>4</v>
      </c>
      <c r="C44" s="4" t="inlineStr">
        <is>
          <t>Nusrat Jahan</t>
        </is>
      </c>
      <c r="D44" s="19" t="inlineStr">
        <is>
          <t>2026-08-29</t>
        </is>
      </c>
      <c r="E44" s="19" t="inlineStr">
        <is>
          <t>09:28:00</t>
        </is>
      </c>
      <c r="F44" s="19" t="inlineStr">
        <is>
          <t>10:28:00</t>
        </is>
      </c>
      <c r="G44" s="20" t="n">
        <v>60</v>
      </c>
      <c r="H44" s="20" t="n">
        <v>60</v>
      </c>
      <c r="I44" s="21">
        <f>G44/H44</f>
        <v/>
      </c>
      <c r="J44" s="19">
        <f>IF(I44&gt;=0.75, "PRESENT", IF(I44&gt;=0.25, "PARTIAL", "ABSENT"))</f>
        <v/>
      </c>
      <c r="K44" s="19">
        <f>IF(E44&gt;"09:15:00", "LATE", "ON TIME")</f>
        <v/>
      </c>
    </row>
    <row r="45">
      <c r="A45" s="15" t="n">
        <v>38</v>
      </c>
      <c r="B45" s="15" t="n">
        <v>5</v>
      </c>
      <c r="C45" s="16" t="inlineStr">
        <is>
          <t>Tanvir Hasan</t>
        </is>
      </c>
      <c r="D45" s="15" t="inlineStr">
        <is>
          <t>2026-08-29</t>
        </is>
      </c>
      <c r="E45" s="15" t="inlineStr">
        <is>
          <t>08:05:00</t>
        </is>
      </c>
      <c r="F45" s="15" t="inlineStr">
        <is>
          <t>09:05:00</t>
        </is>
      </c>
      <c r="G45" s="17" t="n">
        <v>15</v>
      </c>
      <c r="H45" s="17" t="n">
        <v>60</v>
      </c>
      <c r="I45" s="18">
        <f>G45/H45</f>
        <v/>
      </c>
      <c r="J45" s="15">
        <f>IF(I45&gt;=0.75, "PRESENT", IF(I45&gt;=0.25, "PARTIAL", "ABSENT"))</f>
        <v/>
      </c>
      <c r="K45" s="15">
        <f>IF(E45&gt;"09:15:00", "LATE", "ON TIME")</f>
        <v/>
      </c>
    </row>
    <row r="46">
      <c r="A46" s="19" t="n">
        <v>39</v>
      </c>
      <c r="B46" s="19" t="n">
        <v>6</v>
      </c>
      <c r="C46" s="4" t="inlineStr">
        <is>
          <t>Faria Chowdhury</t>
        </is>
      </c>
      <c r="D46" s="19" t="inlineStr">
        <is>
          <t>2026-08-29</t>
        </is>
      </c>
      <c r="E46" s="19" t="inlineStr">
        <is>
          <t>09:12:00</t>
        </is>
      </c>
      <c r="F46" s="19" t="inlineStr">
        <is>
          <t>10:12:00</t>
        </is>
      </c>
      <c r="G46" s="20" t="n">
        <v>60</v>
      </c>
      <c r="H46" s="20" t="n">
        <v>60</v>
      </c>
      <c r="I46" s="21">
        <f>G46/H46</f>
        <v/>
      </c>
      <c r="J46" s="19">
        <f>IF(I46&gt;=0.75, "PRESENT", IF(I46&gt;=0.25, "PARTIAL", "ABSENT"))</f>
        <v/>
      </c>
      <c r="K46" s="19">
        <f>IF(E46&gt;"09:15:00", "LATE", "ON TIME")</f>
        <v/>
      </c>
    </row>
    <row r="47">
      <c r="A47" s="15" t="n">
        <v>40</v>
      </c>
      <c r="B47" s="15" t="n">
        <v>7</v>
      </c>
      <c r="C47" s="16" t="inlineStr">
        <is>
          <t>Mahmudul Haq</t>
        </is>
      </c>
      <c r="D47" s="15" t="inlineStr">
        <is>
          <t>2026-08-29</t>
        </is>
      </c>
      <c r="E47" s="15" t="inlineStr">
        <is>
          <t>08:19:00</t>
        </is>
      </c>
      <c r="F47" s="15" t="inlineStr">
        <is>
          <t>09:19:00</t>
        </is>
      </c>
      <c r="G47" s="17" t="n">
        <v>15</v>
      </c>
      <c r="H47" s="17" t="n">
        <v>60</v>
      </c>
      <c r="I47" s="18">
        <f>G47/H47</f>
        <v/>
      </c>
      <c r="J47" s="15">
        <f>IF(I47&gt;=0.75, "PRESENT", IF(I47&gt;=0.25, "PARTIAL", "ABSENT"))</f>
        <v/>
      </c>
      <c r="K47" s="15">
        <f>IF(E47&gt;"09:15:00", "LATE", "ON TIME")</f>
        <v/>
      </c>
    </row>
    <row r="48">
      <c r="A48" s="19" t="n">
        <v>41</v>
      </c>
      <c r="B48" s="19" t="n">
        <v>8</v>
      </c>
      <c r="C48" s="4" t="inlineStr">
        <is>
          <t>Sultana Razia</t>
        </is>
      </c>
      <c r="D48" s="19" t="inlineStr">
        <is>
          <t>2026-08-29</t>
        </is>
      </c>
      <c r="E48" s="19" t="inlineStr">
        <is>
          <t>09:26:00</t>
        </is>
      </c>
      <c r="F48" s="19" t="inlineStr">
        <is>
          <t>10:26:00</t>
        </is>
      </c>
      <c r="G48" s="20" t="n">
        <v>60</v>
      </c>
      <c r="H48" s="20" t="n">
        <v>60</v>
      </c>
      <c r="I48" s="21">
        <f>G48/H48</f>
        <v/>
      </c>
      <c r="J48" s="19">
        <f>IF(I48&gt;=0.75, "PRESENT", IF(I48&gt;=0.25, "PARTIAL", "ABSENT"))</f>
        <v/>
      </c>
      <c r="K48" s="19">
        <f>IF(E48&gt;"09:15:00", "LATE", "ON TIME")</f>
        <v/>
      </c>
    </row>
    <row r="49">
      <c r="A49" s="15" t="n">
        <v>42</v>
      </c>
      <c r="B49" s="15" t="n">
        <v>2</v>
      </c>
      <c r="C49" s="16" t="inlineStr">
        <is>
          <t>Atikur Rahman Tamim</t>
        </is>
      </c>
      <c r="D49" s="15" t="inlineStr">
        <is>
          <t>2026-08-30</t>
        </is>
      </c>
      <c r="E49" s="15" t="inlineStr">
        <is>
          <t>09:14:00</t>
        </is>
      </c>
      <c r="F49" s="15" t="inlineStr">
        <is>
          <t>10:14:00</t>
        </is>
      </c>
      <c r="G49" s="17" t="n">
        <v>60</v>
      </c>
      <c r="H49" s="17" t="n">
        <v>60</v>
      </c>
      <c r="I49" s="18">
        <f>G49/H49</f>
        <v/>
      </c>
      <c r="J49" s="15">
        <f>IF(I49&gt;=0.75, "PRESENT", IF(I49&gt;=0.25, "PARTIAL", "ABSENT"))</f>
        <v/>
      </c>
      <c r="K49" s="15">
        <f>IF(E49&gt;"09:15:00", "LATE", "ON TIME")</f>
        <v/>
      </c>
    </row>
    <row r="50">
      <c r="A50" s="19" t="n">
        <v>43</v>
      </c>
      <c r="B50" s="19" t="n">
        <v>3</v>
      </c>
      <c r="C50" s="4" t="inlineStr">
        <is>
          <t>Shahriar Ahmed</t>
        </is>
      </c>
      <c r="D50" s="19" t="inlineStr">
        <is>
          <t>2026-08-30</t>
        </is>
      </c>
      <c r="E50" s="19" t="inlineStr">
        <is>
          <t>08:21:00</t>
        </is>
      </c>
      <c r="F50" s="19" t="inlineStr">
        <is>
          <t>09:21:00</t>
        </is>
      </c>
      <c r="G50" s="20" t="n">
        <v>45</v>
      </c>
      <c r="H50" s="20" t="n">
        <v>60</v>
      </c>
      <c r="I50" s="21">
        <f>G50/H50</f>
        <v/>
      </c>
      <c r="J50" s="19">
        <f>IF(I50&gt;=0.75, "PRESENT", IF(I50&gt;=0.25, "PARTIAL", "ABSENT"))</f>
        <v/>
      </c>
      <c r="K50" s="19">
        <f>IF(E50&gt;"09:15:00", "LATE", "ON TIME")</f>
        <v/>
      </c>
    </row>
    <row r="51">
      <c r="A51" s="15" t="n">
        <v>44</v>
      </c>
      <c r="B51" s="15" t="n">
        <v>4</v>
      </c>
      <c r="C51" s="16" t="inlineStr">
        <is>
          <t>Nusrat Jahan</t>
        </is>
      </c>
      <c r="D51" s="15" t="inlineStr">
        <is>
          <t>2026-08-30</t>
        </is>
      </c>
      <c r="E51" s="15" t="inlineStr">
        <is>
          <t>09:28:00</t>
        </is>
      </c>
      <c r="F51" s="15" t="inlineStr">
        <is>
          <t>10:28:00</t>
        </is>
      </c>
      <c r="G51" s="17" t="n">
        <v>60</v>
      </c>
      <c r="H51" s="17" t="n">
        <v>60</v>
      </c>
      <c r="I51" s="18">
        <f>G51/H51</f>
        <v/>
      </c>
      <c r="J51" s="15">
        <f>IF(I51&gt;=0.75, "PRESENT", IF(I51&gt;=0.25, "PARTIAL", "ABSENT"))</f>
        <v/>
      </c>
      <c r="K51" s="15">
        <f>IF(E51&gt;"09:15:00", "LATE", "ON TIME")</f>
        <v/>
      </c>
    </row>
    <row r="52">
      <c r="A52" s="19" t="n">
        <v>45</v>
      </c>
      <c r="B52" s="19" t="n">
        <v>5</v>
      </c>
      <c r="C52" s="4" t="inlineStr">
        <is>
          <t>Tanvir Hasan</t>
        </is>
      </c>
      <c r="D52" s="19" t="inlineStr">
        <is>
          <t>2026-08-30</t>
        </is>
      </c>
      <c r="E52" s="19" t="inlineStr">
        <is>
          <t>08:05:00</t>
        </is>
      </c>
      <c r="F52" s="19" t="inlineStr">
        <is>
          <t>09:05:00</t>
        </is>
      </c>
      <c r="G52" s="20" t="n">
        <v>15</v>
      </c>
      <c r="H52" s="20" t="n">
        <v>60</v>
      </c>
      <c r="I52" s="21">
        <f>G52/H52</f>
        <v/>
      </c>
      <c r="J52" s="19">
        <f>IF(I52&gt;=0.75, "PRESENT", IF(I52&gt;=0.25, "PARTIAL", "ABSENT"))</f>
        <v/>
      </c>
      <c r="K52" s="19">
        <f>IF(E52&gt;"09:15:00", "LATE", "ON TIME")</f>
        <v/>
      </c>
    </row>
    <row r="53">
      <c r="A53" s="15" t="n">
        <v>46</v>
      </c>
      <c r="B53" s="15" t="n">
        <v>6</v>
      </c>
      <c r="C53" s="16" t="inlineStr">
        <is>
          <t>Faria Chowdhury</t>
        </is>
      </c>
      <c r="D53" s="15" t="inlineStr">
        <is>
          <t>2026-08-30</t>
        </is>
      </c>
      <c r="E53" s="15" t="inlineStr">
        <is>
          <t>09:12:00</t>
        </is>
      </c>
      <c r="F53" s="15" t="inlineStr">
        <is>
          <t>10:12:00</t>
        </is>
      </c>
      <c r="G53" s="17" t="n">
        <v>60</v>
      </c>
      <c r="H53" s="17" t="n">
        <v>60</v>
      </c>
      <c r="I53" s="18">
        <f>G53/H53</f>
        <v/>
      </c>
      <c r="J53" s="15">
        <f>IF(I53&gt;=0.75, "PRESENT", IF(I53&gt;=0.25, "PARTIAL", "ABSENT"))</f>
        <v/>
      </c>
      <c r="K53" s="15">
        <f>IF(E53&gt;"09:15:00", "LATE", "ON TIME")</f>
        <v/>
      </c>
    </row>
    <row r="54">
      <c r="A54" s="19" t="n">
        <v>47</v>
      </c>
      <c r="B54" s="19" t="n">
        <v>7</v>
      </c>
      <c r="C54" s="4" t="inlineStr">
        <is>
          <t>Mahmudul Haq</t>
        </is>
      </c>
      <c r="D54" s="19" t="inlineStr">
        <is>
          <t>2026-08-30</t>
        </is>
      </c>
      <c r="E54" s="19" t="inlineStr">
        <is>
          <t>08:19:00</t>
        </is>
      </c>
      <c r="F54" s="19" t="inlineStr">
        <is>
          <t>09:19:00</t>
        </is>
      </c>
      <c r="G54" s="20" t="n">
        <v>15</v>
      </c>
      <c r="H54" s="20" t="n">
        <v>60</v>
      </c>
      <c r="I54" s="21">
        <f>G54/H54</f>
        <v/>
      </c>
      <c r="J54" s="19">
        <f>IF(I54&gt;=0.75, "PRESENT", IF(I54&gt;=0.25, "PARTIAL", "ABSENT"))</f>
        <v/>
      </c>
      <c r="K54" s="19">
        <f>IF(E54&gt;"09:15:00", "LATE", "ON TIME")</f>
        <v/>
      </c>
    </row>
    <row r="55">
      <c r="A55" s="15" t="n">
        <v>48</v>
      </c>
      <c r="B55" s="15" t="n">
        <v>8</v>
      </c>
      <c r="C55" s="16" t="inlineStr">
        <is>
          <t>Sultana Razia</t>
        </is>
      </c>
      <c r="D55" s="15" t="inlineStr">
        <is>
          <t>2026-08-30</t>
        </is>
      </c>
      <c r="E55" s="15" t="inlineStr">
        <is>
          <t>09:26:00</t>
        </is>
      </c>
      <c r="F55" s="15" t="inlineStr">
        <is>
          <t>10:26:00</t>
        </is>
      </c>
      <c r="G55" s="17" t="n">
        <v>60</v>
      </c>
      <c r="H55" s="17" t="n">
        <v>60</v>
      </c>
      <c r="I55" s="18">
        <f>G55/H55</f>
        <v/>
      </c>
      <c r="J55" s="15">
        <f>IF(I55&gt;=0.75, "PRESENT", IF(I55&gt;=0.25, "PARTIAL", "ABSENT"))</f>
        <v/>
      </c>
      <c r="K55" s="15">
        <f>IF(E55&gt;"09:15:00", "LATE", "ON TIME")</f>
        <v/>
      </c>
    </row>
  </sheetData>
  <mergeCells count="9">
    <mergeCell ref="F4:G4"/>
    <mergeCell ref="B5:C5"/>
    <mergeCell ref="F5:G5"/>
    <mergeCell ref="D5:E5"/>
    <mergeCell ref="H5:I5"/>
    <mergeCell ref="D4:E4"/>
    <mergeCell ref="H4:I4"/>
    <mergeCell ref="B4:C4"/>
    <mergeCell ref="A1:K2"/>
  </mergeCells>
  <conditionalFormatting sqref="J8:J55">
    <cfRule type="cellIs" priority="1" operator="equal" dxfId="0" stopIfTrue="1">
      <formula>"PRESENT"</formula>
    </cfRule>
    <cfRule type="cellIs" priority="2" operator="equal" dxfId="1" stopIfTrue="1">
      <formula>"PARTIAL"</formula>
    </cfRule>
    <cfRule type="cellIs" priority="3" operator="equal" dxfId="2" stopIfTrue="1">
      <formula>"ABSENT"</formula>
    </cfRule>
  </conditionalFormatting>
  <conditionalFormatting sqref="K8:K55">
    <cfRule type="cellIs" priority="4" operator="equal" dxfId="2" stopIfTrue="1">
      <formula>"LATE"</formula>
    </cfRule>
    <cfRule type="cellIs" priority="5" operator="equal" dxfId="0" stopIfTrue="1">
      <formula>"ON TIME"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32" customWidth="1" min="3" max="3"/>
    <col width="15" customWidth="1" min="4" max="4"/>
    <col width="43" customWidth="1" min="5" max="5"/>
    <col width="12" customWidth="1" min="6" max="6"/>
    <col width="30" customWidth="1" min="7" max="7"/>
    <col width="43" customWidth="1" min="8" max="8"/>
    <col width="12" customWidth="1" min="9" max="9"/>
    <col width="15" customWidth="1" min="10" max="10"/>
    <col width="15" customWidth="1" min="11" max="11"/>
    <col width="16" customWidth="1" min="12" max="12"/>
    <col width="18" customWidth="1" min="13" max="13"/>
  </cols>
  <sheetData>
    <row r="1">
      <c r="A1" s="1" t="inlineStr">
        <is>
          <t>ACADEMIC COURSE CATALOG &amp; STUDENT ENROLLMENT ROSTER</t>
        </is>
      </c>
    </row>
    <row r="2"/>
    <row r="3"/>
    <row r="4">
      <c r="A4" s="7" t="inlineStr">
        <is>
          <t>STUDENT ACADEMIC ROSTER</t>
        </is>
      </c>
      <c r="G4" s="7" t="inlineStr">
        <is>
          <t>ENGINEERING COURSE CATALOG</t>
        </is>
      </c>
    </row>
    <row r="5">
      <c r="A5" s="25" t="inlineStr">
        <is>
          <t>Student ID</t>
        </is>
      </c>
      <c r="B5" s="25" t="inlineStr">
        <is>
          <t>Student Name</t>
        </is>
      </c>
      <c r="C5" s="25" t="inlineStr">
        <is>
          <t>Department</t>
        </is>
      </c>
      <c r="D5" s="25" t="inlineStr">
        <is>
          <t>Section</t>
        </is>
      </c>
      <c r="E5" s="25" t="inlineStr">
        <is>
          <t>Total Courses Enrolled</t>
        </is>
      </c>
      <c r="G5" s="25" t="inlineStr">
        <is>
          <t>Course Code</t>
        </is>
      </c>
      <c r="H5" s="25" t="inlineStr">
        <is>
          <t>Course Name</t>
        </is>
      </c>
      <c r="I5" s="25" t="inlineStr">
        <is>
          <t>Dept</t>
        </is>
      </c>
      <c r="J5" s="25" t="inlineStr">
        <is>
          <t>Section</t>
        </is>
      </c>
      <c r="K5" s="25" t="inlineStr">
        <is>
          <t>Open Credit</t>
        </is>
      </c>
      <c r="L5" s="25" t="inlineStr">
        <is>
          <t>Credit Hours</t>
        </is>
      </c>
      <c r="M5" s="32" t="inlineStr">
        <is>
          <t>Student_ID_Ref</t>
        </is>
      </c>
    </row>
    <row r="6">
      <c r="A6" s="28" t="n">
        <v>1</v>
      </c>
      <c r="B6" s="12" t="inlineStr">
        <is>
          <t>Md. Asif Samrat</t>
        </is>
      </c>
      <c r="C6" s="12" t="inlineStr">
        <is>
          <t>Computer Science &amp; Eng.</t>
        </is>
      </c>
      <c r="D6" s="28" t="inlineStr">
        <is>
          <t>Section A</t>
        </is>
      </c>
      <c r="E6" s="33">
        <f>COUNTIF($M$6:$M$27, A6)</f>
        <v/>
      </c>
      <c r="G6" s="28" t="inlineStr">
        <is>
          <t>CSE101</t>
        </is>
      </c>
      <c r="H6" s="12" t="inlineStr">
        <is>
          <t>Structured Programming</t>
        </is>
      </c>
      <c r="I6" s="28" t="inlineStr">
        <is>
          <t>CSE</t>
        </is>
      </c>
      <c r="J6" s="28" t="inlineStr">
        <is>
          <t>Section A</t>
        </is>
      </c>
      <c r="K6" s="28" t="inlineStr">
        <is>
          <t>NO</t>
        </is>
      </c>
      <c r="L6" s="33" t="n">
        <v>3</v>
      </c>
      <c r="M6" t="n">
        <v>1</v>
      </c>
    </row>
    <row r="7">
      <c r="A7" s="34" t="n">
        <v>2</v>
      </c>
      <c r="B7" s="9" t="inlineStr">
        <is>
          <t>Atikur Rahman Tamim</t>
        </is>
      </c>
      <c r="C7" s="9" t="inlineStr">
        <is>
          <t>Computer Science &amp; Eng.</t>
        </is>
      </c>
      <c r="D7" s="34" t="inlineStr">
        <is>
          <t>Section A</t>
        </is>
      </c>
      <c r="E7" s="35">
        <f>COUNTIF($M$6:$M$27, A7)</f>
        <v/>
      </c>
      <c r="G7" s="34" t="inlineStr">
        <is>
          <t>CSE102</t>
        </is>
      </c>
      <c r="H7" s="9" t="inlineStr">
        <is>
          <t>Data Structures &amp; Algorithms</t>
        </is>
      </c>
      <c r="I7" s="34" t="inlineStr">
        <is>
          <t>CSE</t>
        </is>
      </c>
      <c r="J7" s="34" t="inlineStr">
        <is>
          <t>Section A</t>
        </is>
      </c>
      <c r="K7" s="34" t="inlineStr">
        <is>
          <t>NO</t>
        </is>
      </c>
      <c r="L7" s="35" t="n">
        <v>3</v>
      </c>
      <c r="M7" t="n">
        <v>1</v>
      </c>
    </row>
    <row r="8">
      <c r="A8" s="28" t="n">
        <v>3</v>
      </c>
      <c r="B8" s="12" t="inlineStr">
        <is>
          <t>Shahriar Ahmed</t>
        </is>
      </c>
      <c r="C8" s="12" t="inlineStr">
        <is>
          <t>Electrical &amp; Electronic Eng.</t>
        </is>
      </c>
      <c r="D8" s="28" t="inlineStr">
        <is>
          <t>Section A</t>
        </is>
      </c>
      <c r="E8" s="33">
        <f>COUNTIF($M$6:$M$27, A8)</f>
        <v/>
      </c>
      <c r="G8" s="28" t="inlineStr">
        <is>
          <t>CSE103</t>
        </is>
      </c>
      <c r="H8" s="12" t="inlineStr">
        <is>
          <t>Discrete Mathematics</t>
        </is>
      </c>
      <c r="I8" s="28" t="inlineStr">
        <is>
          <t>CSE</t>
        </is>
      </c>
      <c r="J8" s="28" t="inlineStr">
        <is>
          <t>Section B</t>
        </is>
      </c>
      <c r="K8" s="28" t="inlineStr">
        <is>
          <t>NO</t>
        </is>
      </c>
      <c r="L8" s="33" t="n">
        <v>3</v>
      </c>
      <c r="M8" t="n">
        <v>1</v>
      </c>
    </row>
    <row r="9">
      <c r="A9" s="34" t="n">
        <v>4</v>
      </c>
      <c r="B9" s="9" t="inlineStr">
        <is>
          <t>Nusrat Jahan</t>
        </is>
      </c>
      <c r="C9" s="9" t="inlineStr">
        <is>
          <t>Computer Science &amp; Eng.</t>
        </is>
      </c>
      <c r="D9" s="34" t="inlineStr">
        <is>
          <t>Section B</t>
        </is>
      </c>
      <c r="E9" s="35">
        <f>COUNTIF($M$6:$M$27, A9)</f>
        <v/>
      </c>
      <c r="G9" s="34" t="inlineStr">
        <is>
          <t>CSE104</t>
        </is>
      </c>
      <c r="H9" s="9" t="inlineStr">
        <is>
          <t>Object Oriented Programming</t>
        </is>
      </c>
      <c r="I9" s="34" t="inlineStr">
        <is>
          <t>CSE</t>
        </is>
      </c>
      <c r="J9" s="34" t="inlineStr">
        <is>
          <t>Section B</t>
        </is>
      </c>
      <c r="K9" s="34" t="inlineStr">
        <is>
          <t>NO</t>
        </is>
      </c>
      <c r="L9" s="35" t="n">
        <v>3</v>
      </c>
      <c r="M9" t="n">
        <v>1</v>
      </c>
    </row>
    <row r="10">
      <c r="A10" s="28" t="n">
        <v>5</v>
      </c>
      <c r="B10" s="12" t="inlineStr">
        <is>
          <t>Tanvir Hasan</t>
        </is>
      </c>
      <c r="C10" s="12" t="inlineStr">
        <is>
          <t>Mechanical Engineering</t>
        </is>
      </c>
      <c r="D10" s="28" t="inlineStr">
        <is>
          <t>Section B</t>
        </is>
      </c>
      <c r="E10" s="33">
        <f>COUNTIF($M$6:$M$27, A10)</f>
        <v/>
      </c>
      <c r="G10" s="28" t="inlineStr">
        <is>
          <t>CSE201</t>
        </is>
      </c>
      <c r="H10" s="12" t="inlineStr">
        <is>
          <t>Database Management Systems</t>
        </is>
      </c>
      <c r="I10" s="28" t="inlineStr">
        <is>
          <t>CSE</t>
        </is>
      </c>
      <c r="J10" s="28" t="inlineStr">
        <is>
          <t>Open Credit</t>
        </is>
      </c>
      <c r="K10" s="28" t="inlineStr">
        <is>
          <t>YES</t>
        </is>
      </c>
      <c r="L10" s="33" t="n">
        <v>4</v>
      </c>
      <c r="M10" t="n">
        <v>2</v>
      </c>
    </row>
    <row r="11">
      <c r="A11" s="34" t="n">
        <v>6</v>
      </c>
      <c r="B11" s="9" t="inlineStr">
        <is>
          <t>Faria Chowdhury</t>
        </is>
      </c>
      <c r="C11" s="9" t="inlineStr">
        <is>
          <t>Computer Science &amp; Eng.</t>
        </is>
      </c>
      <c r="D11" s="34" t="inlineStr">
        <is>
          <t>Section B</t>
        </is>
      </c>
      <c r="E11" s="35">
        <f>COUNTIF($M$6:$M$27, A11)</f>
        <v/>
      </c>
      <c r="G11" s="34" t="inlineStr">
        <is>
          <t>EEE201</t>
        </is>
      </c>
      <c r="H11" s="9" t="inlineStr">
        <is>
          <t>Electrical Circuits &amp; Electronics</t>
        </is>
      </c>
      <c r="I11" s="34" t="inlineStr">
        <is>
          <t>EEE</t>
        </is>
      </c>
      <c r="J11" s="34" t="inlineStr">
        <is>
          <t>Section A</t>
        </is>
      </c>
      <c r="K11" s="34" t="inlineStr">
        <is>
          <t>NO</t>
        </is>
      </c>
      <c r="L11" s="35" t="n">
        <v>3</v>
      </c>
      <c r="M11" t="n">
        <v>2</v>
      </c>
    </row>
    <row r="12">
      <c r="A12" s="28" t="n">
        <v>7</v>
      </c>
      <c r="B12" s="12" t="inlineStr">
        <is>
          <t>Mahmudul Haq</t>
        </is>
      </c>
      <c r="C12" s="12" t="inlineStr">
        <is>
          <t>Electrical &amp; Electronic Eng.</t>
        </is>
      </c>
      <c r="D12" s="28" t="inlineStr">
        <is>
          <t>Section C</t>
        </is>
      </c>
      <c r="E12" s="33">
        <f>COUNTIF($M$6:$M$27, A12)</f>
        <v/>
      </c>
      <c r="G12" s="28" t="inlineStr">
        <is>
          <t>MATH201</t>
        </is>
      </c>
      <c r="H12" s="12" t="inlineStr">
        <is>
          <t>Linear Algebra &amp; Differential Equations</t>
        </is>
      </c>
      <c r="I12" s="28" t="inlineStr">
        <is>
          <t>MATH</t>
        </is>
      </c>
      <c r="J12" s="28" t="inlineStr">
        <is>
          <t>Open Credit</t>
        </is>
      </c>
      <c r="K12" s="28" t="inlineStr">
        <is>
          <t>YES</t>
        </is>
      </c>
      <c r="L12" s="33" t="n">
        <v>3</v>
      </c>
      <c r="M12" t="n">
        <v>2</v>
      </c>
    </row>
    <row r="13">
      <c r="A13" s="34" t="n">
        <v>8</v>
      </c>
      <c r="B13" s="9" t="inlineStr">
        <is>
          <t>Sultana Razia</t>
        </is>
      </c>
      <c r="C13" s="9" t="inlineStr">
        <is>
          <t>Civil Engineering</t>
        </is>
      </c>
      <c r="D13" s="34" t="inlineStr">
        <is>
          <t>Section C</t>
        </is>
      </c>
      <c r="E13" s="35">
        <f>COUNTIF($M$6:$M$27, A13)</f>
        <v/>
      </c>
      <c r="M13" t="n">
        <v>3</v>
      </c>
    </row>
    <row r="14">
      <c r="M14" t="n">
        <v>3</v>
      </c>
    </row>
    <row r="15">
      <c r="M15" t="n">
        <v>3</v>
      </c>
    </row>
    <row r="16">
      <c r="A16" s="7" t="inlineStr">
        <is>
          <t>STUDENT-COURSE ENROLLMENT MAPPING MATRIX</t>
        </is>
      </c>
      <c r="M16" t="n">
        <v>4</v>
      </c>
    </row>
    <row r="17">
      <c r="A17" s="26" t="inlineStr">
        <is>
          <t>Enrollment ID</t>
        </is>
      </c>
      <c r="B17" s="26" t="inlineStr">
        <is>
          <t>Student ID</t>
        </is>
      </c>
      <c r="C17" s="26" t="inlineStr">
        <is>
          <t>Student Name</t>
        </is>
      </c>
      <c r="D17" s="26" t="inlineStr">
        <is>
          <t>Course Code</t>
        </is>
      </c>
      <c r="E17" s="26" t="inlineStr">
        <is>
          <t>Course Title</t>
        </is>
      </c>
      <c r="M17" t="n">
        <v>4</v>
      </c>
    </row>
    <row r="18">
      <c r="A18" s="28" t="n">
        <v>1</v>
      </c>
      <c r="B18" s="28" t="n">
        <v>1</v>
      </c>
      <c r="C18" s="12" t="inlineStr">
        <is>
          <t>Md. Asif Samrat</t>
        </is>
      </c>
      <c r="D18" s="28" t="inlineStr">
        <is>
          <t>CSE101</t>
        </is>
      </c>
      <c r="E18" s="12" t="inlineStr">
        <is>
          <t>Structured Programming</t>
        </is>
      </c>
      <c r="M18" t="n">
        <v>4</v>
      </c>
    </row>
    <row r="19">
      <c r="A19" s="34" t="n">
        <v>2</v>
      </c>
      <c r="B19" s="34" t="n">
        <v>1</v>
      </c>
      <c r="C19" s="9" t="inlineStr">
        <is>
          <t>Md. Asif Samrat</t>
        </is>
      </c>
      <c r="D19" s="34" t="inlineStr">
        <is>
          <t>CSE102</t>
        </is>
      </c>
      <c r="E19" s="9" t="inlineStr">
        <is>
          <t>Data Structures &amp; Algorithms</t>
        </is>
      </c>
      <c r="M19" t="n">
        <v>5</v>
      </c>
    </row>
    <row r="20">
      <c r="A20" s="28" t="n">
        <v>3</v>
      </c>
      <c r="B20" s="28" t="n">
        <v>1</v>
      </c>
      <c r="C20" s="12" t="inlineStr">
        <is>
          <t>Md. Asif Samrat</t>
        </is>
      </c>
      <c r="D20" s="28" t="inlineStr">
        <is>
          <t>CSE201</t>
        </is>
      </c>
      <c r="E20" s="12" t="inlineStr">
        <is>
          <t>Database Management Systems</t>
        </is>
      </c>
      <c r="M20" t="n">
        <v>5</v>
      </c>
    </row>
    <row r="21">
      <c r="A21" s="34" t="n">
        <v>4</v>
      </c>
      <c r="B21" s="34" t="n">
        <v>1</v>
      </c>
      <c r="C21" s="9" t="inlineStr">
        <is>
          <t>Md. Asif Samrat</t>
        </is>
      </c>
      <c r="D21" s="34" t="inlineStr">
        <is>
          <t>EEE201</t>
        </is>
      </c>
      <c r="E21" s="9" t="inlineStr">
        <is>
          <t>Electrical Circuits &amp; Electronics</t>
        </is>
      </c>
      <c r="M21" t="n">
        <v>5</v>
      </c>
    </row>
    <row r="22">
      <c r="A22" s="28" t="n">
        <v>5</v>
      </c>
      <c r="B22" s="28" t="n">
        <v>2</v>
      </c>
      <c r="C22" s="12" t="inlineStr">
        <is>
          <t>Atikur Rahman Tamim</t>
        </is>
      </c>
      <c r="D22" s="28" t="inlineStr">
        <is>
          <t>CSE101</t>
        </is>
      </c>
      <c r="E22" s="12" t="inlineStr">
        <is>
          <t>Structured Programming</t>
        </is>
      </c>
      <c r="M22" t="n">
        <v>6</v>
      </c>
    </row>
    <row r="23">
      <c r="A23" s="34" t="n">
        <v>6</v>
      </c>
      <c r="B23" s="34" t="n">
        <v>2</v>
      </c>
      <c r="C23" s="9" t="inlineStr">
        <is>
          <t>Atikur Rahman Tamim</t>
        </is>
      </c>
      <c r="D23" s="34" t="inlineStr">
        <is>
          <t>CSE103</t>
        </is>
      </c>
      <c r="E23" s="9" t="inlineStr">
        <is>
          <t>Discrete Mathematics</t>
        </is>
      </c>
      <c r="M23" t="n">
        <v>6</v>
      </c>
    </row>
    <row r="24">
      <c r="A24" s="28" t="n">
        <v>7</v>
      </c>
      <c r="B24" s="28" t="n">
        <v>2</v>
      </c>
      <c r="C24" s="12" t="inlineStr">
        <is>
          <t>Atikur Rahman Tamim</t>
        </is>
      </c>
      <c r="D24" s="28" t="inlineStr">
        <is>
          <t>MATH201</t>
        </is>
      </c>
      <c r="E24" s="12" t="inlineStr">
        <is>
          <t>Linear Algebra &amp; Differential Equations</t>
        </is>
      </c>
      <c r="M24" t="n">
        <v>7</v>
      </c>
    </row>
    <row r="25">
      <c r="A25" s="34" t="n">
        <v>8</v>
      </c>
      <c r="B25" s="34" t="n">
        <v>3</v>
      </c>
      <c r="C25" s="9" t="inlineStr">
        <is>
          <t>Shahriar Ahmed</t>
        </is>
      </c>
      <c r="D25" s="34" t="inlineStr">
        <is>
          <t>CSE102</t>
        </is>
      </c>
      <c r="E25" s="9" t="inlineStr">
        <is>
          <t>Data Structures &amp; Algorithms</t>
        </is>
      </c>
      <c r="M25" t="n">
        <v>7</v>
      </c>
    </row>
    <row r="26">
      <c r="A26" s="28" t="n">
        <v>9</v>
      </c>
      <c r="B26" s="28" t="n">
        <v>3</v>
      </c>
      <c r="C26" s="12" t="inlineStr">
        <is>
          <t>Shahriar Ahmed</t>
        </is>
      </c>
      <c r="D26" s="28" t="inlineStr">
        <is>
          <t>CSE104</t>
        </is>
      </c>
      <c r="E26" s="12" t="inlineStr">
        <is>
          <t>Object Oriented Programming</t>
        </is>
      </c>
      <c r="M26" t="n">
        <v>8</v>
      </c>
    </row>
    <row r="27">
      <c r="A27" s="34" t="n">
        <v>10</v>
      </c>
      <c r="B27" s="34" t="n">
        <v>3</v>
      </c>
      <c r="C27" s="9" t="inlineStr">
        <is>
          <t>Shahriar Ahmed</t>
        </is>
      </c>
      <c r="D27" s="34" t="inlineStr">
        <is>
          <t>EEE201</t>
        </is>
      </c>
      <c r="E27" s="9" t="inlineStr">
        <is>
          <t>Electrical Circuits &amp; Electronics</t>
        </is>
      </c>
      <c r="M27" t="n">
        <v>8</v>
      </c>
    </row>
    <row r="28">
      <c r="A28" s="28" t="n">
        <v>11</v>
      </c>
      <c r="B28" s="28" t="n">
        <v>4</v>
      </c>
      <c r="C28" s="12" t="inlineStr">
        <is>
          <t>Nusrat Jahan</t>
        </is>
      </c>
      <c r="D28" s="28" t="inlineStr">
        <is>
          <t>CSE103</t>
        </is>
      </c>
      <c r="E28" s="12" t="inlineStr">
        <is>
          <t>Discrete Mathematics</t>
        </is>
      </c>
    </row>
    <row r="29">
      <c r="A29" s="34" t="n">
        <v>12</v>
      </c>
      <c r="B29" s="34" t="n">
        <v>4</v>
      </c>
      <c r="C29" s="9" t="inlineStr">
        <is>
          <t>Nusrat Jahan</t>
        </is>
      </c>
      <c r="D29" s="34" t="inlineStr">
        <is>
          <t>CSE104</t>
        </is>
      </c>
      <c r="E29" s="9" t="inlineStr">
        <is>
          <t>Object Oriented Programming</t>
        </is>
      </c>
    </row>
    <row r="30">
      <c r="A30" s="28" t="n">
        <v>13</v>
      </c>
      <c r="B30" s="28" t="n">
        <v>4</v>
      </c>
      <c r="C30" s="12" t="inlineStr">
        <is>
          <t>Nusrat Jahan</t>
        </is>
      </c>
      <c r="D30" s="28" t="inlineStr">
        <is>
          <t>CSE201</t>
        </is>
      </c>
      <c r="E30" s="12" t="inlineStr">
        <is>
          <t>Database Management Systems</t>
        </is>
      </c>
    </row>
    <row r="31">
      <c r="A31" s="34" t="n">
        <v>14</v>
      </c>
      <c r="B31" s="34" t="n">
        <v>5</v>
      </c>
      <c r="C31" s="9" t="inlineStr">
        <is>
          <t>Tanvir Hasan</t>
        </is>
      </c>
      <c r="D31" s="34" t="inlineStr">
        <is>
          <t>CSE101</t>
        </is>
      </c>
      <c r="E31" s="9" t="inlineStr">
        <is>
          <t>Structured Programming</t>
        </is>
      </c>
    </row>
    <row r="32">
      <c r="A32" s="28" t="n">
        <v>15</v>
      </c>
      <c r="B32" s="28" t="n">
        <v>5</v>
      </c>
      <c r="C32" s="12" t="inlineStr">
        <is>
          <t>Tanvir Hasan</t>
        </is>
      </c>
      <c r="D32" s="28" t="inlineStr">
        <is>
          <t>CSE104</t>
        </is>
      </c>
      <c r="E32" s="12" t="inlineStr">
        <is>
          <t>Object Oriented Programming</t>
        </is>
      </c>
    </row>
    <row r="33">
      <c r="A33" s="34" t="n">
        <v>16</v>
      </c>
      <c r="B33" s="34" t="n">
        <v>5</v>
      </c>
      <c r="C33" s="9" t="inlineStr">
        <is>
          <t>Tanvir Hasan</t>
        </is>
      </c>
      <c r="D33" s="34" t="inlineStr">
        <is>
          <t>MATH201</t>
        </is>
      </c>
      <c r="E33" s="9" t="inlineStr">
        <is>
          <t>Linear Algebra &amp; Differential Equations</t>
        </is>
      </c>
    </row>
    <row r="34">
      <c r="A34" s="28" t="n">
        <v>17</v>
      </c>
      <c r="B34" s="28" t="n">
        <v>6</v>
      </c>
      <c r="C34" s="12" t="inlineStr">
        <is>
          <t>Faria Chowdhury</t>
        </is>
      </c>
      <c r="D34" s="28" t="inlineStr">
        <is>
          <t>CSE102</t>
        </is>
      </c>
      <c r="E34" s="12" t="inlineStr">
        <is>
          <t>Data Structures &amp; Algorithms</t>
        </is>
      </c>
    </row>
    <row r="35">
      <c r="A35" s="34" t="n">
        <v>18</v>
      </c>
      <c r="B35" s="34" t="n">
        <v>6</v>
      </c>
      <c r="C35" s="9" t="inlineStr">
        <is>
          <t>Faria Chowdhury</t>
        </is>
      </c>
      <c r="D35" s="34" t="inlineStr">
        <is>
          <t>CSE201</t>
        </is>
      </c>
      <c r="E35" s="9" t="inlineStr">
        <is>
          <t>Database Management Systems</t>
        </is>
      </c>
    </row>
    <row r="36">
      <c r="A36" s="28" t="n">
        <v>19</v>
      </c>
      <c r="B36" s="28" t="n">
        <v>7</v>
      </c>
      <c r="C36" s="12" t="inlineStr">
        <is>
          <t>Mahmudul Haq</t>
        </is>
      </c>
      <c r="D36" s="28" t="inlineStr">
        <is>
          <t>EEE201</t>
        </is>
      </c>
      <c r="E36" s="12" t="inlineStr">
        <is>
          <t>Electrical Circuits &amp; Electronics</t>
        </is>
      </c>
    </row>
    <row r="37">
      <c r="A37" s="34" t="n">
        <v>20</v>
      </c>
      <c r="B37" s="34" t="n">
        <v>7</v>
      </c>
      <c r="C37" s="9" t="inlineStr">
        <is>
          <t>Mahmudul Haq</t>
        </is>
      </c>
      <c r="D37" s="34" t="inlineStr">
        <is>
          <t>MATH201</t>
        </is>
      </c>
      <c r="E37" s="9" t="inlineStr">
        <is>
          <t>Linear Algebra &amp; Differential Equations</t>
        </is>
      </c>
    </row>
    <row r="38">
      <c r="A38" s="28" t="n">
        <v>21</v>
      </c>
      <c r="B38" s="28" t="n">
        <v>8</v>
      </c>
      <c r="C38" s="12" t="inlineStr">
        <is>
          <t>Sultana Razia</t>
        </is>
      </c>
      <c r="D38" s="28" t="inlineStr">
        <is>
          <t>CSE103</t>
        </is>
      </c>
      <c r="E38" s="12" t="inlineStr">
        <is>
          <t>Discrete Mathematics</t>
        </is>
      </c>
    </row>
    <row r="39">
      <c r="A39" s="34" t="n">
        <v>22</v>
      </c>
      <c r="B39" s="34" t="n">
        <v>8</v>
      </c>
      <c r="C39" s="9" t="inlineStr">
        <is>
          <t>Sultana Razia</t>
        </is>
      </c>
      <c r="D39" s="34" t="inlineStr">
        <is>
          <t>CSE104</t>
        </is>
      </c>
      <c r="E39" s="9" t="inlineStr">
        <is>
          <t>Object Oriented Programming</t>
        </is>
      </c>
    </row>
  </sheetData>
  <mergeCells count="1">
    <mergeCell ref="A1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6" customWidth="1" min="3" max="3"/>
    <col width="17" customWidth="1" min="4" max="4"/>
    <col width="60" customWidth="1" min="5" max="5"/>
    <col width="12" customWidth="1" min="6" max="6"/>
    <col width="12" customWidth="1" min="7" max="7"/>
  </cols>
  <sheetData>
    <row r="1">
      <c r="A1" s="1" t="inlineStr">
        <is>
          <t>CLASS ASSISTANT - CONFIGURATION &amp; ALGORITHM CONSTANTS</t>
        </is>
      </c>
    </row>
    <row r="2"/>
    <row r="3"/>
    <row r="4">
      <c r="A4" s="25" t="inlineStr">
        <is>
          <t>Parameter ID</t>
        </is>
      </c>
      <c r="B4" s="25" t="inlineStr">
        <is>
          <t>Parameter Name</t>
        </is>
      </c>
      <c r="C4" s="25" t="inlineStr">
        <is>
          <t>Value / Threshold</t>
        </is>
      </c>
      <c r="D4" s="25" t="inlineStr">
        <is>
          <t>Unit / Metric</t>
        </is>
      </c>
      <c r="E4" s="25" t="inlineStr">
        <is>
          <t>Engineering Description</t>
        </is>
      </c>
    </row>
    <row r="5">
      <c r="A5" s="34" t="inlineStr">
        <is>
          <t>CFG-001</t>
        </is>
      </c>
      <c r="B5" s="9" t="inlineStr">
        <is>
          <t>Standard Class Start Time</t>
        </is>
      </c>
      <c r="C5" s="34" t="inlineStr">
        <is>
          <t>09:00:00</t>
        </is>
      </c>
      <c r="D5" s="34" t="inlineStr">
        <is>
          <t>HH:MM:SS</t>
        </is>
      </c>
      <c r="E5" s="9" t="inlineStr">
        <is>
          <t>Official start time for morning academic sessions</t>
        </is>
      </c>
    </row>
    <row r="6">
      <c r="A6" s="28" t="inlineStr">
        <is>
          <t>CFG-002</t>
        </is>
      </c>
      <c r="B6" s="12" t="inlineStr">
        <is>
          <t>Standard Class End Time</t>
        </is>
      </c>
      <c r="C6" s="28" t="inlineStr">
        <is>
          <t>17:00:00</t>
        </is>
      </c>
      <c r="D6" s="28" t="inlineStr">
        <is>
          <t>HH:MM:SS</t>
        </is>
      </c>
      <c r="E6" s="12" t="inlineStr">
        <is>
          <t>Official end time for afternoon academic sessions</t>
        </is>
      </c>
    </row>
    <row r="7">
      <c r="A7" s="34" t="inlineStr">
        <is>
          <t>CFG-003</t>
        </is>
      </c>
      <c r="B7" s="9" t="inlineStr">
        <is>
          <t>Punctuality Grace Period</t>
        </is>
      </c>
      <c r="C7" s="34" t="inlineStr">
        <is>
          <t>15</t>
        </is>
      </c>
      <c r="D7" s="34" t="inlineStr">
        <is>
          <t>Minutes</t>
        </is>
      </c>
      <c r="E7" s="9" t="inlineStr">
        <is>
          <t>Allowed arrival threshold before marking student as LATE</t>
        </is>
      </c>
    </row>
    <row r="8">
      <c r="A8" s="28" t="inlineStr">
        <is>
          <t>CFG-004</t>
        </is>
      </c>
      <c r="B8" s="12" t="inlineStr">
        <is>
          <t>Minimum Attendance Presence</t>
        </is>
      </c>
      <c r="C8" s="28" t="inlineStr">
        <is>
          <t>75.0%</t>
        </is>
      </c>
      <c r="D8" s="28" t="inlineStr">
        <is>
          <t>Percentage</t>
        </is>
      </c>
      <c r="E8" s="12" t="inlineStr">
        <is>
          <t>Required classroom stay percentage for full PRESENT mark</t>
        </is>
      </c>
    </row>
    <row r="9">
      <c r="A9" s="34" t="inlineStr">
        <is>
          <t>CFG-005</t>
        </is>
      </c>
      <c r="B9" s="9" t="inlineStr">
        <is>
          <t>Minimum Room Seat Cushion</t>
        </is>
      </c>
      <c r="C9" s="34" t="inlineStr">
        <is>
          <t>20.0%</t>
        </is>
      </c>
      <c r="D9" s="34" t="inlineStr">
        <is>
          <t>Percentage</t>
        </is>
      </c>
      <c r="E9" s="9" t="inlineStr">
        <is>
          <t>Safety buffer threshold for exam room capacity planning</t>
        </is>
      </c>
    </row>
    <row r="10">
      <c r="A10" s="28" t="inlineStr">
        <is>
          <t>CFG-006</t>
        </is>
      </c>
      <c r="B10" s="12" t="inlineStr">
        <is>
          <t>Max Exams Per Student Per Day</t>
        </is>
      </c>
      <c r="C10" s="28" t="inlineStr">
        <is>
          <t>2</t>
        </is>
      </c>
      <c r="D10" s="28" t="inlineStr">
        <is>
          <t>Exams</t>
        </is>
      </c>
      <c r="E10" s="12" t="inlineStr">
        <is>
          <t>Hard constraint for Smart Exam Scheduler algorithm</t>
        </is>
      </c>
    </row>
    <row r="11">
      <c r="A11" s="34" t="inlineStr">
        <is>
          <t>CFG-007</t>
        </is>
      </c>
      <c r="B11" s="9" t="inlineStr">
        <is>
          <t>Backtracking Search Mode</t>
        </is>
      </c>
      <c r="C11" s="34" t="inlineStr">
        <is>
          <t>DFS + Degree Heuristic</t>
        </is>
      </c>
      <c r="D11" s="34" t="inlineStr">
        <is>
          <t>Algorithm</t>
        </is>
      </c>
      <c r="E11" s="9" t="inlineStr">
        <is>
          <t>Exam slot assignment graph coloring strategy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2026-08-30T01:30:16Z</dcterms:created>
  <dcterms:modified xsi:type="dcterms:W3CDTF">2026-08-30T01:30:16Z</dcterms:modified>
</cp:coreProperties>
</file>